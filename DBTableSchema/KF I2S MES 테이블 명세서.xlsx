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004.(주)한국제일_소스\I2S.SQL.COMMON.DATA\DBTableSchema\"/>
    </mc:Choice>
  </mc:AlternateContent>
  <xr:revisionPtr revIDLastSave="0" documentId="13_ncr:1_{763439B3-60B2-41D2-9AB8-998B391E830E}" xr6:coauthVersionLast="47" xr6:coauthVersionMax="47" xr10:uidLastSave="{00000000-0000-0000-0000-000000000000}"/>
  <bookViews>
    <workbookView xWindow="28680" yWindow="-120" windowWidth="29040" windowHeight="15720" tabRatio="875" firstSheet="18" activeTab="27" xr2:uid="{00000000-000D-0000-FFFF-FFFF00000000}"/>
  </bookViews>
  <sheets>
    <sheet name="리스트" sheetId="1" r:id="rId1"/>
    <sheet name="TEMPLATE" sheetId="2" r:id="rId2"/>
    <sheet name="COMMON_CODE" sheetId="70" r:id="rId3"/>
    <sheet name="PROJECTS" sheetId="6" r:id="rId4"/>
    <sheet name="PROJECT_MANAGEMENT" sheetId="7" r:id="rId5"/>
    <sheet name="COMPANY" sheetId="66" r:id="rId6"/>
    <sheet name="VENDORS" sheetId="59" r:id="rId7"/>
    <sheet name="PLANT" sheetId="67" r:id="rId8"/>
    <sheet name="PROCESS" sheetId="68" r:id="rId9"/>
    <sheet name="LINE" sheetId="51" r:id="rId10"/>
    <sheet name="LOCATION" sheetId="63" r:id="rId11"/>
    <sheet name="SCALE" sheetId="10" r:id="rId12"/>
    <sheet name="BIN" sheetId="9" r:id="rId13"/>
    <sheet name="STOCK_CLOSING" sheetId="40" r:id="rId14"/>
    <sheet name="STOCK_ADJUST" sheetId="41" r:id="rId15"/>
    <sheet name="ROUTING" sheetId="42" r:id="rId16"/>
    <sheet name="FEED_LABEL" sheetId="36" r:id="rId17"/>
    <sheet name="EQUIPMENT" sheetId="4" r:id="rId18"/>
    <sheet name="CUSTOMERS" sheetId="5" r:id="rId19"/>
    <sheet name="VEHICLE" sheetId="11" r:id="rId20"/>
    <sheet name="EMPLOYEES" sheetId="43" r:id="rId21"/>
    <sheet name="MENU_INFO" sheetId="44" r:id="rId22"/>
    <sheet name="MENU_AUTH" sheetId="45" r:id="rId23"/>
    <sheet name="PRODUCT" sheetId="69" r:id="rId24"/>
    <sheet name="MATERAL_ADJUST" sheetId="54" r:id="rId25"/>
    <sheet name="MATERIAL" sheetId="71" r:id="rId26"/>
    <sheet name="MIXING_RECIPE" sheetId="72" r:id="rId27"/>
    <sheet name="MIXING_RECIPE_DETAIL" sheetId="73" r:id="rId28"/>
    <sheet name="MIX_WORK_ORDER" sheetId="50" r:id="rId29"/>
    <sheet name="MIX_SETTING" sheetId="62" r:id="rId30"/>
    <sheet name="MIX_SETTING_HISTORY" sheetId="61" r:id="rId31"/>
    <sheet name="MIX_RESULT" sheetId="64" r:id="rId32"/>
    <sheet name="SMASH" sheetId="22" r:id="rId33"/>
    <sheet name="PELLET" sheetId="23" r:id="rId34"/>
    <sheet name="PACK" sheetId="24" r:id="rId35"/>
    <sheet name="TYCONES" sheetId="25" r:id="rId36"/>
    <sheet name="MATERIAL_MOVING" sheetId="26" r:id="rId37"/>
    <sheet name="STOCK_CHANGE" sheetId="27" r:id="rId38"/>
    <sheet name="STOCK" sheetId="28" r:id="rId39"/>
    <sheet name="REST_TIME" sheetId="29" r:id="rId40"/>
    <sheet name="EQUIP_TROUBLE" sheetId="30" r:id="rId4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0" i="73" l="1" a="1"/>
  <c r="J20" i="73" s="1"/>
  <c r="J19" i="73"/>
  <c r="S18" i="73"/>
  <c r="P18" i="73"/>
  <c r="O18" i="73"/>
  <c r="N18" i="73"/>
  <c r="M18" i="73"/>
  <c r="L18" i="73"/>
  <c r="K18" i="73"/>
  <c r="J18" i="73"/>
  <c r="S17" i="73"/>
  <c r="P17" i="73"/>
  <c r="O17" i="73"/>
  <c r="N17" i="73"/>
  <c r="M17" i="73"/>
  <c r="L17" i="73"/>
  <c r="K17" i="73"/>
  <c r="J17" i="73"/>
  <c r="S16" i="73"/>
  <c r="P16" i="73"/>
  <c r="O16" i="73"/>
  <c r="N16" i="73"/>
  <c r="M16" i="73"/>
  <c r="L16" i="73"/>
  <c r="K16" i="73"/>
  <c r="J16" i="73"/>
  <c r="S15" i="73"/>
  <c r="P15" i="73"/>
  <c r="O15" i="73"/>
  <c r="N15" i="73"/>
  <c r="M15" i="73"/>
  <c r="L15" i="73"/>
  <c r="K15" i="73"/>
  <c r="J15" i="73"/>
  <c r="S14" i="73"/>
  <c r="P14" i="73"/>
  <c r="O14" i="73"/>
  <c r="N14" i="73"/>
  <c r="M14" i="73"/>
  <c r="L14" i="73"/>
  <c r="K14" i="73"/>
  <c r="J14" i="73"/>
  <c r="S13" i="73"/>
  <c r="P13" i="73"/>
  <c r="O13" i="73"/>
  <c r="N13" i="73"/>
  <c r="M13" i="73"/>
  <c r="L13" i="73"/>
  <c r="K13" i="73"/>
  <c r="J13" i="73"/>
  <c r="S12" i="73"/>
  <c r="P12" i="73"/>
  <c r="O12" i="73"/>
  <c r="N12" i="73"/>
  <c r="M12" i="73"/>
  <c r="L12" i="73"/>
  <c r="K12" i="73"/>
  <c r="J12" i="73"/>
  <c r="S11" i="73"/>
  <c r="P11" i="73"/>
  <c r="O11" i="73"/>
  <c r="N11" i="73"/>
  <c r="M11" i="73"/>
  <c r="L11" i="73"/>
  <c r="K11" i="73"/>
  <c r="J11" i="73"/>
  <c r="S10" i="73"/>
  <c r="P10" i="73"/>
  <c r="O10" i="73"/>
  <c r="N10" i="73"/>
  <c r="M10" i="73"/>
  <c r="L10" i="73"/>
  <c r="K10" i="73"/>
  <c r="J10" i="73"/>
  <c r="S9" i="73"/>
  <c r="P9" i="73"/>
  <c r="O9" i="73"/>
  <c r="N9" i="73"/>
  <c r="M9" i="73"/>
  <c r="L9" i="73"/>
  <c r="K9" i="73"/>
  <c r="J9" i="73"/>
  <c r="S8" i="73"/>
  <c r="P8" i="73"/>
  <c r="O8" i="73"/>
  <c r="N8" i="73"/>
  <c r="M8" i="73"/>
  <c r="L8" i="73"/>
  <c r="K8" i="73"/>
  <c r="J8" i="73"/>
  <c r="S7" i="73"/>
  <c r="P7" i="73"/>
  <c r="O7" i="73"/>
  <c r="N7" i="73"/>
  <c r="M7" i="73"/>
  <c r="L7" i="73"/>
  <c r="K7" i="73"/>
  <c r="J7" i="73"/>
  <c r="S6" i="73"/>
  <c r="P6" i="73"/>
  <c r="O6" i="73"/>
  <c r="N6" i="73"/>
  <c r="M6" i="73"/>
  <c r="L6" i="73"/>
  <c r="K6" i="73"/>
  <c r="J6" i="73"/>
  <c r="S5" i="73"/>
  <c r="J5" i="73"/>
  <c r="J3" i="73"/>
  <c r="S11" i="72"/>
  <c r="P11" i="72"/>
  <c r="O11" i="72"/>
  <c r="N11" i="72"/>
  <c r="M11" i="72"/>
  <c r="L11" i="72"/>
  <c r="K11" i="72"/>
  <c r="J11" i="72"/>
  <c r="J18" i="72" a="1"/>
  <c r="J18" i="72" s="1"/>
  <c r="J17" i="72"/>
  <c r="S16" i="72"/>
  <c r="P16" i="72"/>
  <c r="O16" i="72"/>
  <c r="N16" i="72"/>
  <c r="M16" i="72"/>
  <c r="L16" i="72"/>
  <c r="K16" i="72"/>
  <c r="J16" i="72"/>
  <c r="S15" i="72"/>
  <c r="P15" i="72"/>
  <c r="O15" i="72"/>
  <c r="N15" i="72"/>
  <c r="M15" i="72"/>
  <c r="L15" i="72"/>
  <c r="K15" i="72"/>
  <c r="J15" i="72"/>
  <c r="S14" i="72"/>
  <c r="P14" i="72"/>
  <c r="O14" i="72"/>
  <c r="N14" i="72"/>
  <c r="M14" i="72"/>
  <c r="L14" i="72"/>
  <c r="K14" i="72"/>
  <c r="J14" i="72"/>
  <c r="S13" i="72"/>
  <c r="P13" i="72"/>
  <c r="O13" i="72"/>
  <c r="N13" i="72"/>
  <c r="M13" i="72"/>
  <c r="L13" i="72"/>
  <c r="K13" i="72"/>
  <c r="J13" i="72"/>
  <c r="S12" i="72"/>
  <c r="P12" i="72"/>
  <c r="O12" i="72"/>
  <c r="N12" i="72"/>
  <c r="M12" i="72"/>
  <c r="L12" i="72"/>
  <c r="K12" i="72"/>
  <c r="J12" i="72"/>
  <c r="S10" i="72"/>
  <c r="P10" i="72"/>
  <c r="O10" i="72"/>
  <c r="N10" i="72"/>
  <c r="M10" i="72"/>
  <c r="L10" i="72"/>
  <c r="K10" i="72"/>
  <c r="J10" i="72"/>
  <c r="S9" i="72"/>
  <c r="P9" i="72"/>
  <c r="O9" i="72"/>
  <c r="N9" i="72"/>
  <c r="M9" i="72"/>
  <c r="L9" i="72"/>
  <c r="K9" i="72"/>
  <c r="J9" i="72"/>
  <c r="S8" i="72"/>
  <c r="P8" i="72"/>
  <c r="O8" i="72"/>
  <c r="N8" i="72"/>
  <c r="M8" i="72"/>
  <c r="L8" i="72"/>
  <c r="K8" i="72"/>
  <c r="J8" i="72"/>
  <c r="S7" i="72"/>
  <c r="P7" i="72"/>
  <c r="O7" i="72"/>
  <c r="N7" i="72"/>
  <c r="M7" i="72"/>
  <c r="L7" i="72"/>
  <c r="K7" i="72"/>
  <c r="J7" i="72"/>
  <c r="S6" i="72"/>
  <c r="P6" i="72"/>
  <c r="O6" i="72"/>
  <c r="N6" i="72"/>
  <c r="M6" i="72"/>
  <c r="L6" i="72"/>
  <c r="K6" i="72"/>
  <c r="J6" i="72"/>
  <c r="S5" i="72"/>
  <c r="J5" i="72"/>
  <c r="J3" i="72"/>
  <c r="S10" i="71"/>
  <c r="P10" i="71"/>
  <c r="O10" i="71"/>
  <c r="N10" i="71"/>
  <c r="M10" i="71"/>
  <c r="L10" i="71"/>
  <c r="K10" i="71"/>
  <c r="J10" i="71"/>
  <c r="S6" i="71"/>
  <c r="P6" i="71"/>
  <c r="O6" i="71"/>
  <c r="N6" i="71"/>
  <c r="M6" i="71"/>
  <c r="L6" i="71"/>
  <c r="K6" i="71"/>
  <c r="J6" i="71"/>
  <c r="J18" i="71" a="1"/>
  <c r="J18" i="71" s="1"/>
  <c r="J17" i="71"/>
  <c r="S16" i="71"/>
  <c r="P16" i="71"/>
  <c r="O16" i="71"/>
  <c r="N16" i="71"/>
  <c r="M16" i="71"/>
  <c r="L16" i="71"/>
  <c r="K16" i="71"/>
  <c r="J16" i="71"/>
  <c r="S15" i="71"/>
  <c r="P15" i="71"/>
  <c r="O15" i="71"/>
  <c r="N15" i="71"/>
  <c r="M15" i="71"/>
  <c r="L15" i="71"/>
  <c r="K15" i="71"/>
  <c r="J15" i="71"/>
  <c r="S14" i="71"/>
  <c r="P14" i="71"/>
  <c r="O14" i="71"/>
  <c r="N14" i="71"/>
  <c r="M14" i="71"/>
  <c r="L14" i="71"/>
  <c r="K14" i="71"/>
  <c r="J14" i="71"/>
  <c r="S13" i="71"/>
  <c r="P13" i="71"/>
  <c r="O13" i="71"/>
  <c r="N13" i="71"/>
  <c r="M13" i="71"/>
  <c r="L13" i="71"/>
  <c r="K13" i="71"/>
  <c r="J13" i="71"/>
  <c r="S12" i="71"/>
  <c r="P12" i="71"/>
  <c r="O12" i="71"/>
  <c r="N12" i="71"/>
  <c r="M12" i="71"/>
  <c r="L12" i="71"/>
  <c r="K12" i="71"/>
  <c r="J12" i="71"/>
  <c r="S11" i="71"/>
  <c r="P11" i="71"/>
  <c r="O11" i="71"/>
  <c r="N11" i="71"/>
  <c r="M11" i="71"/>
  <c r="L11" i="71"/>
  <c r="K11" i="71"/>
  <c r="J11" i="71"/>
  <c r="S9" i="71"/>
  <c r="P9" i="71"/>
  <c r="O9" i="71"/>
  <c r="N9" i="71"/>
  <c r="M9" i="71"/>
  <c r="L9" i="71"/>
  <c r="K9" i="71"/>
  <c r="J9" i="71"/>
  <c r="S8" i="71"/>
  <c r="P8" i="71"/>
  <c r="O8" i="71"/>
  <c r="N8" i="71"/>
  <c r="M8" i="71"/>
  <c r="L8" i="71"/>
  <c r="K8" i="71"/>
  <c r="J8" i="71"/>
  <c r="S7" i="71"/>
  <c r="P7" i="71"/>
  <c r="O7" i="71"/>
  <c r="N7" i="71"/>
  <c r="M7" i="71"/>
  <c r="L7" i="71"/>
  <c r="K7" i="71"/>
  <c r="J7" i="71"/>
  <c r="S5" i="71"/>
  <c r="J5" i="71"/>
  <c r="J3" i="71"/>
  <c r="I3" i="27"/>
  <c r="I3" i="26"/>
  <c r="I3" i="25"/>
  <c r="I3" i="24"/>
  <c r="I3" i="23"/>
  <c r="I3" i="22"/>
  <c r="J3" i="64"/>
  <c r="J3" i="61"/>
  <c r="J3" i="62"/>
  <c r="J3" i="50"/>
  <c r="J3" i="54"/>
  <c r="J3" i="69"/>
  <c r="J3" i="45"/>
  <c r="J3" i="44"/>
  <c r="J3" i="43"/>
  <c r="J3" i="11"/>
  <c r="J3" i="5"/>
  <c r="J3" i="4"/>
  <c r="J3" i="36"/>
  <c r="J3" i="42"/>
  <c r="J3" i="41"/>
  <c r="J3" i="40"/>
  <c r="J3" i="9"/>
  <c r="I3" i="10"/>
  <c r="J3" i="63"/>
  <c r="J3" i="51"/>
  <c r="J3" i="68"/>
  <c r="J3" i="67"/>
  <c r="J3" i="59"/>
  <c r="J3" i="66"/>
  <c r="I3" i="7"/>
  <c r="J3" i="6"/>
  <c r="J3" i="70"/>
  <c r="J3" i="2"/>
  <c r="J18" i="70"/>
  <c r="K18" i="70"/>
  <c r="L18" i="70"/>
  <c r="M18" i="70"/>
  <c r="N18" i="70"/>
  <c r="O18" i="70"/>
  <c r="P18" i="70"/>
  <c r="S18" i="70"/>
  <c r="J19" i="70"/>
  <c r="K19" i="70"/>
  <c r="L19" i="70"/>
  <c r="M19" i="70"/>
  <c r="N19" i="70"/>
  <c r="O19" i="70"/>
  <c r="P19" i="70"/>
  <c r="S19" i="70"/>
  <c r="J20" i="70"/>
  <c r="K20" i="70"/>
  <c r="L20" i="70"/>
  <c r="M20" i="70"/>
  <c r="N20" i="70"/>
  <c r="O20" i="70"/>
  <c r="P20" i="70"/>
  <c r="S20" i="70"/>
  <c r="S10" i="70"/>
  <c r="P10" i="70"/>
  <c r="O10" i="70"/>
  <c r="N10" i="70"/>
  <c r="M10" i="70"/>
  <c r="L10" i="70"/>
  <c r="K10" i="70"/>
  <c r="J10" i="70"/>
  <c r="S7" i="70"/>
  <c r="P7" i="70"/>
  <c r="O7" i="70"/>
  <c r="N7" i="70"/>
  <c r="M7" i="70"/>
  <c r="L7" i="70"/>
  <c r="K7" i="70"/>
  <c r="J7" i="70"/>
  <c r="J22" i="70" a="1"/>
  <c r="J22" i="70" s="1"/>
  <c r="J21" i="70"/>
  <c r="S17" i="70"/>
  <c r="P17" i="70"/>
  <c r="O17" i="70"/>
  <c r="N17" i="70"/>
  <c r="M17" i="70"/>
  <c r="L17" i="70"/>
  <c r="K17" i="70"/>
  <c r="J17" i="70"/>
  <c r="S16" i="70"/>
  <c r="P16" i="70"/>
  <c r="O16" i="70"/>
  <c r="N16" i="70"/>
  <c r="M16" i="70"/>
  <c r="L16" i="70"/>
  <c r="K16" i="70"/>
  <c r="J16" i="70"/>
  <c r="S15" i="70"/>
  <c r="P15" i="70"/>
  <c r="O15" i="70"/>
  <c r="N15" i="70"/>
  <c r="M15" i="70"/>
  <c r="L15" i="70"/>
  <c r="K15" i="70"/>
  <c r="J15" i="70"/>
  <c r="S14" i="70"/>
  <c r="P14" i="70"/>
  <c r="O14" i="70"/>
  <c r="N14" i="70"/>
  <c r="M14" i="70"/>
  <c r="L14" i="70"/>
  <c r="K14" i="70"/>
  <c r="J14" i="70"/>
  <c r="S13" i="70"/>
  <c r="P13" i="70"/>
  <c r="O13" i="70"/>
  <c r="N13" i="70"/>
  <c r="M13" i="70"/>
  <c r="L13" i="70"/>
  <c r="K13" i="70"/>
  <c r="J13" i="70"/>
  <c r="S12" i="70"/>
  <c r="P12" i="70"/>
  <c r="O12" i="70"/>
  <c r="N12" i="70"/>
  <c r="M12" i="70"/>
  <c r="L12" i="70"/>
  <c r="K12" i="70"/>
  <c r="J12" i="70"/>
  <c r="S11" i="70"/>
  <c r="P11" i="70"/>
  <c r="O11" i="70"/>
  <c r="N11" i="70"/>
  <c r="M11" i="70"/>
  <c r="L11" i="70"/>
  <c r="K11" i="70"/>
  <c r="J11" i="70"/>
  <c r="S9" i="70"/>
  <c r="P9" i="70"/>
  <c r="O9" i="70"/>
  <c r="N9" i="70"/>
  <c r="M9" i="70"/>
  <c r="L9" i="70"/>
  <c r="K9" i="70"/>
  <c r="J9" i="70"/>
  <c r="S8" i="70"/>
  <c r="P8" i="70"/>
  <c r="O8" i="70"/>
  <c r="N8" i="70"/>
  <c r="M8" i="70"/>
  <c r="L8" i="70"/>
  <c r="K8" i="70"/>
  <c r="J8" i="70"/>
  <c r="S6" i="70"/>
  <c r="P6" i="70"/>
  <c r="O6" i="70"/>
  <c r="N6" i="70"/>
  <c r="M6" i="70"/>
  <c r="L6" i="70"/>
  <c r="K6" i="70"/>
  <c r="J6" i="70"/>
  <c r="S5" i="70"/>
  <c r="J5" i="70"/>
  <c r="J24" i="69" a="1"/>
  <c r="J24" i="69" s="1"/>
  <c r="J23" i="69"/>
  <c r="S22" i="69"/>
  <c r="P22" i="69"/>
  <c r="O22" i="69"/>
  <c r="N22" i="69"/>
  <c r="M22" i="69"/>
  <c r="L22" i="69"/>
  <c r="K22" i="69"/>
  <c r="J22" i="69"/>
  <c r="S21" i="69"/>
  <c r="P21" i="69"/>
  <c r="O21" i="69"/>
  <c r="N21" i="69"/>
  <c r="M21" i="69"/>
  <c r="L21" i="69"/>
  <c r="K21" i="69"/>
  <c r="J21" i="69"/>
  <c r="S20" i="69"/>
  <c r="P20" i="69"/>
  <c r="O20" i="69"/>
  <c r="N20" i="69"/>
  <c r="M20" i="69"/>
  <c r="L20" i="69"/>
  <c r="K20" i="69"/>
  <c r="J20" i="69"/>
  <c r="S19" i="69"/>
  <c r="P19" i="69"/>
  <c r="O19" i="69"/>
  <c r="N19" i="69"/>
  <c r="M19" i="69"/>
  <c r="L19" i="69"/>
  <c r="K19" i="69"/>
  <c r="J19" i="69"/>
  <c r="S18" i="69"/>
  <c r="P18" i="69"/>
  <c r="O18" i="69"/>
  <c r="N18" i="69"/>
  <c r="M18" i="69"/>
  <c r="L18" i="69"/>
  <c r="K18" i="69"/>
  <c r="J18" i="69"/>
  <c r="S17" i="69"/>
  <c r="P17" i="69"/>
  <c r="O17" i="69"/>
  <c r="N17" i="69"/>
  <c r="M17" i="69"/>
  <c r="L17" i="69"/>
  <c r="K17" i="69"/>
  <c r="J17" i="69"/>
  <c r="S16" i="69"/>
  <c r="P16" i="69"/>
  <c r="O16" i="69"/>
  <c r="N16" i="69"/>
  <c r="M16" i="69"/>
  <c r="L16" i="69"/>
  <c r="K16" i="69"/>
  <c r="J16" i="69"/>
  <c r="S15" i="69"/>
  <c r="P15" i="69"/>
  <c r="O15" i="69"/>
  <c r="N15" i="69"/>
  <c r="M15" i="69"/>
  <c r="L15" i="69"/>
  <c r="K15" i="69"/>
  <c r="J15" i="69"/>
  <c r="S14" i="69"/>
  <c r="P14" i="69"/>
  <c r="O14" i="69"/>
  <c r="N14" i="69"/>
  <c r="M14" i="69"/>
  <c r="L14" i="69"/>
  <c r="K14" i="69"/>
  <c r="J14" i="69"/>
  <c r="S13" i="69"/>
  <c r="P13" i="69"/>
  <c r="O13" i="69"/>
  <c r="N13" i="69"/>
  <c r="M13" i="69"/>
  <c r="L13" i="69"/>
  <c r="K13" i="69"/>
  <c r="J13" i="69"/>
  <c r="S12" i="69"/>
  <c r="P12" i="69"/>
  <c r="O12" i="69"/>
  <c r="N12" i="69"/>
  <c r="M12" i="69"/>
  <c r="L12" i="69"/>
  <c r="K12" i="69"/>
  <c r="J12" i="69"/>
  <c r="S11" i="69"/>
  <c r="P11" i="69"/>
  <c r="O11" i="69"/>
  <c r="N11" i="69"/>
  <c r="M11" i="69"/>
  <c r="L11" i="69"/>
  <c r="K11" i="69"/>
  <c r="J11" i="69"/>
  <c r="S10" i="69"/>
  <c r="P10" i="69"/>
  <c r="O10" i="69"/>
  <c r="N10" i="69"/>
  <c r="M10" i="69"/>
  <c r="L10" i="69"/>
  <c r="K10" i="69"/>
  <c r="J10" i="69"/>
  <c r="S9" i="69"/>
  <c r="P9" i="69"/>
  <c r="O9" i="69"/>
  <c r="N9" i="69"/>
  <c r="M9" i="69"/>
  <c r="L9" i="69"/>
  <c r="K9" i="69"/>
  <c r="J9" i="69"/>
  <c r="S8" i="69"/>
  <c r="P8" i="69"/>
  <c r="O8" i="69"/>
  <c r="N8" i="69"/>
  <c r="M8" i="69"/>
  <c r="L8" i="69"/>
  <c r="K8" i="69"/>
  <c r="J8" i="69"/>
  <c r="S7" i="69"/>
  <c r="P7" i="69"/>
  <c r="O7" i="69"/>
  <c r="N7" i="69"/>
  <c r="M7" i="69"/>
  <c r="L7" i="69"/>
  <c r="K7" i="69"/>
  <c r="J7" i="69"/>
  <c r="S6" i="69"/>
  <c r="P6" i="69"/>
  <c r="O6" i="69"/>
  <c r="N6" i="69"/>
  <c r="M6" i="69"/>
  <c r="L6" i="69"/>
  <c r="K6" i="69"/>
  <c r="J6" i="69"/>
  <c r="S5" i="69"/>
  <c r="J5" i="69"/>
  <c r="J18" i="68" a="1"/>
  <c r="J18" i="68" s="1"/>
  <c r="J17" i="68"/>
  <c r="S16" i="68"/>
  <c r="P16" i="68"/>
  <c r="O16" i="68"/>
  <c r="N16" i="68"/>
  <c r="M16" i="68"/>
  <c r="L16" i="68"/>
  <c r="K16" i="68"/>
  <c r="J16" i="68"/>
  <c r="S15" i="68"/>
  <c r="P15" i="68"/>
  <c r="O15" i="68"/>
  <c r="N15" i="68"/>
  <c r="M15" i="68"/>
  <c r="L15" i="68"/>
  <c r="K15" i="68"/>
  <c r="J15" i="68"/>
  <c r="S14" i="68"/>
  <c r="P14" i="68"/>
  <c r="O14" i="68"/>
  <c r="N14" i="68"/>
  <c r="M14" i="68"/>
  <c r="L14" i="68"/>
  <c r="K14" i="68"/>
  <c r="J14" i="68"/>
  <c r="S13" i="68"/>
  <c r="P13" i="68"/>
  <c r="O13" i="68"/>
  <c r="N13" i="68"/>
  <c r="M13" i="68"/>
  <c r="L13" i="68"/>
  <c r="K13" i="68"/>
  <c r="J13" i="68"/>
  <c r="S12" i="68"/>
  <c r="P12" i="68"/>
  <c r="O12" i="68"/>
  <c r="N12" i="68"/>
  <c r="M12" i="68"/>
  <c r="L12" i="68"/>
  <c r="K12" i="68"/>
  <c r="J12" i="68"/>
  <c r="S11" i="68"/>
  <c r="P11" i="68"/>
  <c r="O11" i="68"/>
  <c r="N11" i="68"/>
  <c r="M11" i="68"/>
  <c r="L11" i="68"/>
  <c r="K11" i="68"/>
  <c r="J11" i="68"/>
  <c r="S10" i="68"/>
  <c r="P10" i="68"/>
  <c r="O10" i="68"/>
  <c r="N10" i="68"/>
  <c r="M10" i="68"/>
  <c r="L10" i="68"/>
  <c r="K10" i="68"/>
  <c r="J10" i="68"/>
  <c r="S9" i="68"/>
  <c r="P9" i="68"/>
  <c r="O9" i="68"/>
  <c r="N9" i="68"/>
  <c r="M9" i="68"/>
  <c r="L9" i="68"/>
  <c r="K9" i="68"/>
  <c r="J9" i="68"/>
  <c r="S8" i="68"/>
  <c r="P8" i="68"/>
  <c r="O8" i="68"/>
  <c r="N8" i="68"/>
  <c r="M8" i="68"/>
  <c r="L8" i="68"/>
  <c r="K8" i="68"/>
  <c r="J8" i="68"/>
  <c r="S7" i="68"/>
  <c r="P7" i="68"/>
  <c r="O7" i="68"/>
  <c r="N7" i="68"/>
  <c r="M7" i="68"/>
  <c r="L7" i="68"/>
  <c r="K7" i="68"/>
  <c r="J7" i="68"/>
  <c r="S6" i="68"/>
  <c r="P6" i="68"/>
  <c r="O6" i="68"/>
  <c r="N6" i="68"/>
  <c r="M6" i="68"/>
  <c r="L6" i="68"/>
  <c r="K6" i="68"/>
  <c r="J6" i="68"/>
  <c r="S5" i="68"/>
  <c r="J5" i="68"/>
  <c r="J19" i="67" a="1"/>
  <c r="J19" i="67" s="1"/>
  <c r="J18" i="67"/>
  <c r="S17" i="67"/>
  <c r="P17" i="67"/>
  <c r="O17" i="67"/>
  <c r="N17" i="67"/>
  <c r="M17" i="67"/>
  <c r="L17" i="67"/>
  <c r="K17" i="67"/>
  <c r="J17" i="67"/>
  <c r="S16" i="67"/>
  <c r="P16" i="67"/>
  <c r="O16" i="67"/>
  <c r="N16" i="67"/>
  <c r="M16" i="67"/>
  <c r="L16" i="67"/>
  <c r="K16" i="67"/>
  <c r="J16" i="67"/>
  <c r="S15" i="67"/>
  <c r="P15" i="67"/>
  <c r="O15" i="67"/>
  <c r="N15" i="67"/>
  <c r="M15" i="67"/>
  <c r="L15" i="67"/>
  <c r="K15" i="67"/>
  <c r="J15" i="67"/>
  <c r="S14" i="67"/>
  <c r="P14" i="67"/>
  <c r="O14" i="67"/>
  <c r="N14" i="67"/>
  <c r="M14" i="67"/>
  <c r="L14" i="67"/>
  <c r="K14" i="67"/>
  <c r="J14" i="67"/>
  <c r="S13" i="67"/>
  <c r="P13" i="67"/>
  <c r="O13" i="67"/>
  <c r="N13" i="67"/>
  <c r="M13" i="67"/>
  <c r="L13" i="67"/>
  <c r="K13" i="67"/>
  <c r="J13" i="67"/>
  <c r="S12" i="67"/>
  <c r="P12" i="67"/>
  <c r="O12" i="67"/>
  <c r="N12" i="67"/>
  <c r="M12" i="67"/>
  <c r="L12" i="67"/>
  <c r="K12" i="67"/>
  <c r="J12" i="67"/>
  <c r="S11" i="67"/>
  <c r="P11" i="67"/>
  <c r="O11" i="67"/>
  <c r="N11" i="67"/>
  <c r="M11" i="67"/>
  <c r="L11" i="67"/>
  <c r="K11" i="67"/>
  <c r="J11" i="67"/>
  <c r="S10" i="67"/>
  <c r="P10" i="67"/>
  <c r="O10" i="67"/>
  <c r="N10" i="67"/>
  <c r="M10" i="67"/>
  <c r="L10" i="67"/>
  <c r="K10" i="67"/>
  <c r="J10" i="67"/>
  <c r="S9" i="67"/>
  <c r="P9" i="67"/>
  <c r="O9" i="67"/>
  <c r="N9" i="67"/>
  <c r="M9" i="67"/>
  <c r="L9" i="67"/>
  <c r="K9" i="67"/>
  <c r="J9" i="67"/>
  <c r="S8" i="67"/>
  <c r="P8" i="67"/>
  <c r="O8" i="67"/>
  <c r="N8" i="67"/>
  <c r="M8" i="67"/>
  <c r="L8" i="67"/>
  <c r="K8" i="67"/>
  <c r="J8" i="67"/>
  <c r="S7" i="67"/>
  <c r="P7" i="67"/>
  <c r="O7" i="67"/>
  <c r="N7" i="67"/>
  <c r="M7" i="67"/>
  <c r="L7" i="67"/>
  <c r="K7" i="67"/>
  <c r="J7" i="67"/>
  <c r="S6" i="67"/>
  <c r="P6" i="67"/>
  <c r="O6" i="67"/>
  <c r="N6" i="67"/>
  <c r="M6" i="67"/>
  <c r="L6" i="67"/>
  <c r="K6" i="67"/>
  <c r="J6" i="67"/>
  <c r="S5" i="67"/>
  <c r="J5" i="67"/>
  <c r="J14" i="66" a="1"/>
  <c r="J14" i="66" s="1"/>
  <c r="J13" i="66"/>
  <c r="S12" i="66"/>
  <c r="P12" i="66"/>
  <c r="O12" i="66"/>
  <c r="N12" i="66"/>
  <c r="M12" i="66"/>
  <c r="L12" i="66"/>
  <c r="K12" i="66"/>
  <c r="J12" i="66"/>
  <c r="S11" i="66"/>
  <c r="P11" i="66"/>
  <c r="O11" i="66"/>
  <c r="N11" i="66"/>
  <c r="M11" i="66"/>
  <c r="L11" i="66"/>
  <c r="K11" i="66"/>
  <c r="J11" i="66"/>
  <c r="S10" i="66"/>
  <c r="P10" i="66"/>
  <c r="O10" i="66"/>
  <c r="N10" i="66"/>
  <c r="M10" i="66"/>
  <c r="L10" i="66"/>
  <c r="K10" i="66"/>
  <c r="J10" i="66"/>
  <c r="S9" i="66"/>
  <c r="P9" i="66"/>
  <c r="O9" i="66"/>
  <c r="N9" i="66"/>
  <c r="M9" i="66"/>
  <c r="L9" i="66"/>
  <c r="K9" i="66"/>
  <c r="J9" i="66"/>
  <c r="S8" i="66"/>
  <c r="P8" i="66"/>
  <c r="O8" i="66"/>
  <c r="N8" i="66"/>
  <c r="M8" i="66"/>
  <c r="L8" i="66"/>
  <c r="K8" i="66"/>
  <c r="J8" i="66"/>
  <c r="S7" i="66"/>
  <c r="P7" i="66"/>
  <c r="O7" i="66"/>
  <c r="N7" i="66"/>
  <c r="M7" i="66"/>
  <c r="L7" i="66"/>
  <c r="K7" i="66"/>
  <c r="J7" i="66"/>
  <c r="S6" i="66"/>
  <c r="P6" i="66"/>
  <c r="O6" i="66"/>
  <c r="N6" i="66"/>
  <c r="M6" i="66"/>
  <c r="L6" i="66"/>
  <c r="K6" i="66"/>
  <c r="J6" i="66"/>
  <c r="S5" i="66"/>
  <c r="J5" i="66"/>
  <c r="S9" i="10"/>
  <c r="P9" i="10"/>
  <c r="O9" i="10"/>
  <c r="N9" i="10"/>
  <c r="M9" i="10"/>
  <c r="L9" i="10"/>
  <c r="K9" i="10"/>
  <c r="J9" i="10"/>
  <c r="S8" i="10"/>
  <c r="P8" i="10"/>
  <c r="O8" i="10"/>
  <c r="N8" i="10"/>
  <c r="M8" i="10"/>
  <c r="L8" i="10"/>
  <c r="K8" i="10"/>
  <c r="J8" i="10"/>
  <c r="S23" i="61"/>
  <c r="S15" i="62"/>
  <c r="J20" i="64" a="1"/>
  <c r="J20" i="64" s="1"/>
  <c r="J19" i="64"/>
  <c r="S18" i="64"/>
  <c r="P18" i="64"/>
  <c r="O18" i="64"/>
  <c r="N18" i="64"/>
  <c r="M18" i="64"/>
  <c r="L18" i="64"/>
  <c r="K18" i="64"/>
  <c r="J18" i="64"/>
  <c r="S17" i="64"/>
  <c r="P17" i="64"/>
  <c r="O17" i="64"/>
  <c r="N17" i="64"/>
  <c r="M17" i="64"/>
  <c r="L17" i="64"/>
  <c r="K17" i="64"/>
  <c r="J17" i="64"/>
  <c r="S16" i="64"/>
  <c r="P16" i="64"/>
  <c r="O16" i="64"/>
  <c r="N16" i="64"/>
  <c r="M16" i="64"/>
  <c r="L16" i="64"/>
  <c r="K16" i="64"/>
  <c r="J16" i="64"/>
  <c r="S15" i="64"/>
  <c r="P15" i="64"/>
  <c r="O15" i="64"/>
  <c r="N15" i="64"/>
  <c r="M15" i="64"/>
  <c r="L15" i="64"/>
  <c r="K15" i="64"/>
  <c r="J15" i="64"/>
  <c r="S14" i="64"/>
  <c r="P14" i="64"/>
  <c r="O14" i="64"/>
  <c r="N14" i="64"/>
  <c r="M14" i="64"/>
  <c r="L14" i="64"/>
  <c r="K14" i="64"/>
  <c r="J14" i="64"/>
  <c r="S13" i="64"/>
  <c r="P13" i="64"/>
  <c r="O13" i="64"/>
  <c r="N13" i="64"/>
  <c r="M13" i="64"/>
  <c r="L13" i="64"/>
  <c r="K13" i="64"/>
  <c r="J13" i="64"/>
  <c r="S12" i="64"/>
  <c r="P12" i="64"/>
  <c r="O12" i="64"/>
  <c r="N12" i="64"/>
  <c r="M12" i="64"/>
  <c r="L12" i="64"/>
  <c r="K12" i="64"/>
  <c r="J12" i="64"/>
  <c r="S11" i="64"/>
  <c r="P11" i="64"/>
  <c r="O11" i="64"/>
  <c r="N11" i="64"/>
  <c r="M11" i="64"/>
  <c r="L11" i="64"/>
  <c r="K11" i="64"/>
  <c r="J11" i="64"/>
  <c r="S10" i="64"/>
  <c r="P10" i="64"/>
  <c r="O10" i="64"/>
  <c r="N10" i="64"/>
  <c r="M10" i="64"/>
  <c r="L10" i="64"/>
  <c r="K10" i="64"/>
  <c r="J10" i="64"/>
  <c r="S9" i="64"/>
  <c r="P9" i="64"/>
  <c r="O9" i="64"/>
  <c r="N9" i="64"/>
  <c r="M9" i="64"/>
  <c r="L9" i="64"/>
  <c r="K9" i="64"/>
  <c r="J9" i="64"/>
  <c r="S8" i="64"/>
  <c r="P8" i="64"/>
  <c r="O8" i="64"/>
  <c r="N8" i="64"/>
  <c r="M8" i="64"/>
  <c r="L8" i="64"/>
  <c r="K8" i="64"/>
  <c r="J8" i="64"/>
  <c r="S7" i="64"/>
  <c r="P7" i="64"/>
  <c r="O7" i="64"/>
  <c r="N7" i="64"/>
  <c r="M7" i="64"/>
  <c r="L7" i="64"/>
  <c r="K7" i="64"/>
  <c r="J7" i="64"/>
  <c r="S6" i="64"/>
  <c r="P6" i="64"/>
  <c r="O6" i="64"/>
  <c r="N6" i="64"/>
  <c r="M6" i="64"/>
  <c r="L6" i="64"/>
  <c r="K6" i="64"/>
  <c r="J6" i="64"/>
  <c r="S5" i="64"/>
  <c r="J5" i="64"/>
  <c r="S21" i="61"/>
  <c r="P21" i="61"/>
  <c r="O21" i="61"/>
  <c r="N21" i="61"/>
  <c r="M21" i="61"/>
  <c r="L21" i="61"/>
  <c r="K21" i="61"/>
  <c r="J21" i="61"/>
  <c r="S19" i="61"/>
  <c r="P19" i="61"/>
  <c r="O19" i="61"/>
  <c r="N19" i="61"/>
  <c r="M19" i="61"/>
  <c r="L19" i="61"/>
  <c r="K19" i="61"/>
  <c r="J19" i="61"/>
  <c r="S17" i="61"/>
  <c r="P17" i="61"/>
  <c r="O17" i="61"/>
  <c r="N17" i="61"/>
  <c r="M17" i="61"/>
  <c r="L17" i="61"/>
  <c r="K17" i="61"/>
  <c r="J17" i="61"/>
  <c r="S15" i="61"/>
  <c r="P15" i="61"/>
  <c r="O15" i="61"/>
  <c r="N15" i="61"/>
  <c r="M15" i="61"/>
  <c r="L15" i="61"/>
  <c r="K15" i="61"/>
  <c r="J15" i="61"/>
  <c r="S13" i="61"/>
  <c r="P13" i="61"/>
  <c r="O13" i="61"/>
  <c r="N13" i="61"/>
  <c r="M13" i="61"/>
  <c r="L13" i="61"/>
  <c r="K13" i="61"/>
  <c r="J13" i="61"/>
  <c r="S12" i="61"/>
  <c r="P12" i="61"/>
  <c r="O12" i="61"/>
  <c r="N12" i="61"/>
  <c r="M12" i="61"/>
  <c r="L12" i="61"/>
  <c r="K12" i="61"/>
  <c r="J12" i="61"/>
  <c r="S11" i="61"/>
  <c r="P11" i="61"/>
  <c r="O11" i="61"/>
  <c r="N11" i="61"/>
  <c r="M11" i="61"/>
  <c r="L11" i="61"/>
  <c r="K11" i="61"/>
  <c r="J11" i="61"/>
  <c r="S11" i="62"/>
  <c r="P11" i="62"/>
  <c r="O11" i="62"/>
  <c r="N11" i="62"/>
  <c r="M11" i="62"/>
  <c r="L11" i="62"/>
  <c r="K11" i="62"/>
  <c r="J11" i="62"/>
  <c r="S16" i="61"/>
  <c r="P16" i="61"/>
  <c r="O16" i="61"/>
  <c r="N16" i="61"/>
  <c r="M16" i="61"/>
  <c r="L16" i="61"/>
  <c r="K16" i="61"/>
  <c r="J16" i="61"/>
  <c r="J14" i="61"/>
  <c r="K14" i="61"/>
  <c r="L14" i="61"/>
  <c r="M14" i="61"/>
  <c r="N14" i="61"/>
  <c r="O14" i="61"/>
  <c r="P14" i="61"/>
  <c r="S14" i="61"/>
  <c r="J20" i="61"/>
  <c r="K20" i="61"/>
  <c r="L20" i="61"/>
  <c r="M20" i="61"/>
  <c r="N20" i="61"/>
  <c r="O20" i="61"/>
  <c r="P20" i="61"/>
  <c r="S20" i="61"/>
  <c r="J22" i="61"/>
  <c r="K22" i="61"/>
  <c r="L22" i="61"/>
  <c r="M22" i="61"/>
  <c r="N22" i="61"/>
  <c r="O22" i="61"/>
  <c r="P22" i="61"/>
  <c r="S22" i="61"/>
  <c r="J28" i="61" a="1"/>
  <c r="J28" i="61" s="1"/>
  <c r="J27" i="61"/>
  <c r="S26" i="61"/>
  <c r="P26" i="61"/>
  <c r="O26" i="61"/>
  <c r="N26" i="61"/>
  <c r="M26" i="61"/>
  <c r="L26" i="61"/>
  <c r="K26" i="61"/>
  <c r="J26" i="61"/>
  <c r="S25" i="61"/>
  <c r="P25" i="61"/>
  <c r="O25" i="61"/>
  <c r="N25" i="61"/>
  <c r="M25" i="61"/>
  <c r="L25" i="61"/>
  <c r="K25" i="61"/>
  <c r="J25" i="61"/>
  <c r="S24" i="61"/>
  <c r="P24" i="61"/>
  <c r="O24" i="61"/>
  <c r="N24" i="61"/>
  <c r="M24" i="61"/>
  <c r="L24" i="61"/>
  <c r="K24" i="61"/>
  <c r="J24" i="61"/>
  <c r="P23" i="61"/>
  <c r="O23" i="61"/>
  <c r="N23" i="61"/>
  <c r="M23" i="61"/>
  <c r="L23" i="61"/>
  <c r="K23" i="61"/>
  <c r="J23" i="61"/>
  <c r="S18" i="61"/>
  <c r="P18" i="61"/>
  <c r="O18" i="61"/>
  <c r="N18" i="61"/>
  <c r="M18" i="61"/>
  <c r="L18" i="61"/>
  <c r="K18" i="61"/>
  <c r="J18" i="61"/>
  <c r="S10" i="61"/>
  <c r="P10" i="61"/>
  <c r="O10" i="61"/>
  <c r="N10" i="61"/>
  <c r="M10" i="61"/>
  <c r="L10" i="61"/>
  <c r="K10" i="61"/>
  <c r="J10" i="61"/>
  <c r="S9" i="61"/>
  <c r="P9" i="61"/>
  <c r="O9" i="61"/>
  <c r="N9" i="61"/>
  <c r="M9" i="61"/>
  <c r="L9" i="61"/>
  <c r="K9" i="61"/>
  <c r="J9" i="61"/>
  <c r="S8" i="61"/>
  <c r="P8" i="61"/>
  <c r="O8" i="61"/>
  <c r="N8" i="61"/>
  <c r="M8" i="61"/>
  <c r="L8" i="61"/>
  <c r="K8" i="61"/>
  <c r="J8" i="61"/>
  <c r="S7" i="61"/>
  <c r="P7" i="61"/>
  <c r="O7" i="61"/>
  <c r="N7" i="61"/>
  <c r="M7" i="61"/>
  <c r="L7" i="61"/>
  <c r="K7" i="61"/>
  <c r="J7" i="61"/>
  <c r="S6" i="61"/>
  <c r="P6" i="61"/>
  <c r="O6" i="61"/>
  <c r="N6" i="61"/>
  <c r="M6" i="61"/>
  <c r="L6" i="61"/>
  <c r="K6" i="61"/>
  <c r="J6" i="61"/>
  <c r="S5" i="61"/>
  <c r="J5" i="61"/>
  <c r="S12" i="62"/>
  <c r="P12" i="62"/>
  <c r="O12" i="62"/>
  <c r="N12" i="62"/>
  <c r="M12" i="62"/>
  <c r="L12" i="62"/>
  <c r="K12" i="62"/>
  <c r="J12" i="62"/>
  <c r="K7" i="62"/>
  <c r="L7" i="62"/>
  <c r="M7" i="62"/>
  <c r="N7" i="62"/>
  <c r="O7" i="62"/>
  <c r="P7" i="62"/>
  <c r="S7" i="62"/>
  <c r="K8" i="62"/>
  <c r="L8" i="62"/>
  <c r="M8" i="62"/>
  <c r="N8" i="62"/>
  <c r="O8" i="62"/>
  <c r="P8" i="62"/>
  <c r="S8" i="62"/>
  <c r="K9" i="62"/>
  <c r="L9" i="62"/>
  <c r="M9" i="62"/>
  <c r="N9" i="62"/>
  <c r="O9" i="62"/>
  <c r="P9" i="62"/>
  <c r="S9" i="62"/>
  <c r="K10" i="62"/>
  <c r="L10" i="62"/>
  <c r="M10" i="62"/>
  <c r="N10" i="62"/>
  <c r="O10" i="62"/>
  <c r="P10" i="62"/>
  <c r="S10" i="62"/>
  <c r="K13" i="62"/>
  <c r="L13" i="62"/>
  <c r="M13" i="62"/>
  <c r="N13" i="62"/>
  <c r="O13" i="62"/>
  <c r="P13" i="62"/>
  <c r="S13" i="62"/>
  <c r="K14" i="62"/>
  <c r="L14" i="62"/>
  <c r="M14" i="62"/>
  <c r="N14" i="62"/>
  <c r="O14" i="62"/>
  <c r="P14" i="62"/>
  <c r="S14" i="62"/>
  <c r="K15" i="62"/>
  <c r="L15" i="62"/>
  <c r="M15" i="62"/>
  <c r="N15" i="62"/>
  <c r="O15" i="62"/>
  <c r="P15" i="62"/>
  <c r="K16" i="62"/>
  <c r="L16" i="62"/>
  <c r="M16" i="62"/>
  <c r="N16" i="62"/>
  <c r="O16" i="62"/>
  <c r="P16" i="62"/>
  <c r="S16" i="62"/>
  <c r="K17" i="62"/>
  <c r="L17" i="62"/>
  <c r="M17" i="62"/>
  <c r="N17" i="62"/>
  <c r="O17" i="62"/>
  <c r="P17" i="62"/>
  <c r="S17" i="62"/>
  <c r="K18" i="62"/>
  <c r="L18" i="62"/>
  <c r="M18" i="62"/>
  <c r="N18" i="62"/>
  <c r="O18" i="62"/>
  <c r="P18" i="62"/>
  <c r="S18" i="62"/>
  <c r="K19" i="62"/>
  <c r="L19" i="62"/>
  <c r="M19" i="62"/>
  <c r="N19" i="62"/>
  <c r="O19" i="62"/>
  <c r="P19" i="62"/>
  <c r="S19" i="62"/>
  <c r="J7" i="62"/>
  <c r="J8" i="62"/>
  <c r="J9" i="62"/>
  <c r="J10" i="62"/>
  <c r="J13" i="62"/>
  <c r="J14" i="62"/>
  <c r="J15" i="62"/>
  <c r="J16" i="62"/>
  <c r="J17" i="62"/>
  <c r="J18" i="62"/>
  <c r="J19" i="62"/>
  <c r="J19" i="63" a="1"/>
  <c r="J19" i="63" s="1"/>
  <c r="J18" i="63"/>
  <c r="S17" i="63"/>
  <c r="P17" i="63"/>
  <c r="O17" i="63"/>
  <c r="N17" i="63"/>
  <c r="M17" i="63"/>
  <c r="L17" i="63"/>
  <c r="K17" i="63"/>
  <c r="J17" i="63"/>
  <c r="S16" i="63"/>
  <c r="P16" i="63"/>
  <c r="O16" i="63"/>
  <c r="N16" i="63"/>
  <c r="M16" i="63"/>
  <c r="L16" i="63"/>
  <c r="K16" i="63"/>
  <c r="J16" i="63"/>
  <c r="S15" i="63"/>
  <c r="P15" i="63"/>
  <c r="O15" i="63"/>
  <c r="N15" i="63"/>
  <c r="M15" i="63"/>
  <c r="L15" i="63"/>
  <c r="K15" i="63"/>
  <c r="J15" i="63"/>
  <c r="S14" i="63"/>
  <c r="P14" i="63"/>
  <c r="O14" i="63"/>
  <c r="N14" i="63"/>
  <c r="M14" i="63"/>
  <c r="L14" i="63"/>
  <c r="K14" i="63"/>
  <c r="J14" i="63"/>
  <c r="S13" i="63"/>
  <c r="P13" i="63"/>
  <c r="O13" i="63"/>
  <c r="N13" i="63"/>
  <c r="M13" i="63"/>
  <c r="L13" i="63"/>
  <c r="K13" i="63"/>
  <c r="J13" i="63"/>
  <c r="S12" i="63"/>
  <c r="P12" i="63"/>
  <c r="O12" i="63"/>
  <c r="N12" i="63"/>
  <c r="M12" i="63"/>
  <c r="L12" i="63"/>
  <c r="K12" i="63"/>
  <c r="J12" i="63"/>
  <c r="S11" i="63"/>
  <c r="P11" i="63"/>
  <c r="O11" i="63"/>
  <c r="N11" i="63"/>
  <c r="M11" i="63"/>
  <c r="L11" i="63"/>
  <c r="K11" i="63"/>
  <c r="J11" i="63"/>
  <c r="S10" i="63"/>
  <c r="P10" i="63"/>
  <c r="O10" i="63"/>
  <c r="N10" i="63"/>
  <c r="M10" i="63"/>
  <c r="L10" i="63"/>
  <c r="K10" i="63"/>
  <c r="J10" i="63"/>
  <c r="S9" i="63"/>
  <c r="P9" i="63"/>
  <c r="O9" i="63"/>
  <c r="N9" i="63"/>
  <c r="M9" i="63"/>
  <c r="L9" i="63"/>
  <c r="K9" i="63"/>
  <c r="J9" i="63"/>
  <c r="S8" i="63"/>
  <c r="P8" i="63"/>
  <c r="O8" i="63"/>
  <c r="N8" i="63"/>
  <c r="M8" i="63"/>
  <c r="L8" i="63"/>
  <c r="K8" i="63"/>
  <c r="J8" i="63"/>
  <c r="S7" i="63"/>
  <c r="P7" i="63"/>
  <c r="O7" i="63"/>
  <c r="N7" i="63"/>
  <c r="M7" i="63"/>
  <c r="L7" i="63"/>
  <c r="K7" i="63"/>
  <c r="J7" i="63"/>
  <c r="S6" i="63"/>
  <c r="P6" i="63"/>
  <c r="O6" i="63"/>
  <c r="N6" i="63"/>
  <c r="M6" i="63"/>
  <c r="L6" i="63"/>
  <c r="K6" i="63"/>
  <c r="J6" i="63"/>
  <c r="S5" i="63"/>
  <c r="J5" i="63"/>
  <c r="J21" i="62" a="1"/>
  <c r="J21" i="62" s="1"/>
  <c r="J20" i="62"/>
  <c r="S6" i="62"/>
  <c r="O6" i="62"/>
  <c r="P6" i="62"/>
  <c r="N6" i="62"/>
  <c r="M6" i="62"/>
  <c r="L6" i="62"/>
  <c r="K6" i="62"/>
  <c r="J6" i="62"/>
  <c r="S5" i="62"/>
  <c r="J5" i="62"/>
  <c r="J20" i="59" l="1" a="1"/>
  <c r="J20" i="59" s="1"/>
  <c r="J19" i="59"/>
  <c r="S18" i="59"/>
  <c r="P18" i="59"/>
  <c r="O18" i="59"/>
  <c r="N18" i="59"/>
  <c r="M18" i="59"/>
  <c r="L18" i="59"/>
  <c r="K18" i="59"/>
  <c r="J18" i="59"/>
  <c r="S17" i="59"/>
  <c r="P17" i="59"/>
  <c r="O17" i="59"/>
  <c r="N17" i="59"/>
  <c r="M17" i="59"/>
  <c r="L17" i="59"/>
  <c r="K17" i="59"/>
  <c r="J17" i="59"/>
  <c r="S16" i="59"/>
  <c r="P16" i="59"/>
  <c r="O16" i="59"/>
  <c r="N16" i="59"/>
  <c r="M16" i="59"/>
  <c r="L16" i="59"/>
  <c r="K16" i="59"/>
  <c r="J16" i="59"/>
  <c r="S15" i="59"/>
  <c r="P15" i="59"/>
  <c r="O15" i="59"/>
  <c r="N15" i="59"/>
  <c r="M15" i="59"/>
  <c r="L15" i="59"/>
  <c r="K15" i="59"/>
  <c r="J15" i="59"/>
  <c r="S14" i="59"/>
  <c r="P14" i="59"/>
  <c r="O14" i="59"/>
  <c r="N14" i="59"/>
  <c r="M14" i="59"/>
  <c r="L14" i="59"/>
  <c r="K14" i="59"/>
  <c r="J14" i="59"/>
  <c r="S13" i="59"/>
  <c r="P13" i="59"/>
  <c r="O13" i="59"/>
  <c r="N13" i="59"/>
  <c r="M13" i="59"/>
  <c r="L13" i="59"/>
  <c r="K13" i="59"/>
  <c r="J13" i="59"/>
  <c r="S12" i="59"/>
  <c r="P12" i="59"/>
  <c r="O12" i="59"/>
  <c r="N12" i="59"/>
  <c r="M12" i="59"/>
  <c r="L12" i="59"/>
  <c r="K12" i="59"/>
  <c r="J12" i="59"/>
  <c r="S11" i="59"/>
  <c r="P11" i="59"/>
  <c r="O11" i="59"/>
  <c r="N11" i="59"/>
  <c r="M11" i="59"/>
  <c r="L11" i="59"/>
  <c r="K11" i="59"/>
  <c r="J11" i="59"/>
  <c r="S10" i="59"/>
  <c r="P10" i="59"/>
  <c r="O10" i="59"/>
  <c r="N10" i="59"/>
  <c r="M10" i="59"/>
  <c r="L10" i="59"/>
  <c r="K10" i="59"/>
  <c r="J10" i="59"/>
  <c r="S9" i="59"/>
  <c r="P9" i="59"/>
  <c r="O9" i="59"/>
  <c r="N9" i="59"/>
  <c r="M9" i="59"/>
  <c r="L9" i="59"/>
  <c r="K9" i="59"/>
  <c r="J9" i="59"/>
  <c r="S8" i="59"/>
  <c r="P8" i="59"/>
  <c r="O8" i="59"/>
  <c r="N8" i="59"/>
  <c r="M8" i="59"/>
  <c r="L8" i="59"/>
  <c r="K8" i="59"/>
  <c r="J8" i="59"/>
  <c r="S7" i="59"/>
  <c r="P7" i="59"/>
  <c r="O7" i="59"/>
  <c r="N7" i="59"/>
  <c r="M7" i="59"/>
  <c r="L7" i="59"/>
  <c r="K7" i="59"/>
  <c r="J7" i="59"/>
  <c r="S6" i="59"/>
  <c r="P6" i="59"/>
  <c r="O6" i="59"/>
  <c r="N6" i="59"/>
  <c r="M6" i="59"/>
  <c r="L6" i="59"/>
  <c r="K6" i="59"/>
  <c r="J6" i="59"/>
  <c r="S5" i="59"/>
  <c r="J5" i="59"/>
  <c r="S12" i="54"/>
  <c r="P12" i="54"/>
  <c r="O12" i="54"/>
  <c r="N12" i="54"/>
  <c r="M12" i="54"/>
  <c r="L12" i="54"/>
  <c r="K12" i="54"/>
  <c r="J12" i="54"/>
  <c r="S8" i="54"/>
  <c r="P8" i="54"/>
  <c r="O8" i="54"/>
  <c r="N8" i="54"/>
  <c r="M8" i="54"/>
  <c r="L8" i="54"/>
  <c r="K8" i="54"/>
  <c r="J8" i="54"/>
  <c r="S6" i="54"/>
  <c r="P6" i="54"/>
  <c r="O6" i="54"/>
  <c r="N6" i="54"/>
  <c r="M6" i="54"/>
  <c r="L6" i="54"/>
  <c r="K6" i="54"/>
  <c r="J6" i="54"/>
  <c r="J19" i="54" a="1"/>
  <c r="J19" i="54" s="1"/>
  <c r="J18" i="54"/>
  <c r="S17" i="54"/>
  <c r="P17" i="54"/>
  <c r="O17" i="54"/>
  <c r="N17" i="54"/>
  <c r="M17" i="54"/>
  <c r="L17" i="54"/>
  <c r="K17" i="54"/>
  <c r="J17" i="54"/>
  <c r="S16" i="54"/>
  <c r="P16" i="54"/>
  <c r="O16" i="54"/>
  <c r="N16" i="54"/>
  <c r="M16" i="54"/>
  <c r="L16" i="54"/>
  <c r="K16" i="54"/>
  <c r="J16" i="54"/>
  <c r="S15" i="54"/>
  <c r="P15" i="54"/>
  <c r="O15" i="54"/>
  <c r="N15" i="54"/>
  <c r="M15" i="54"/>
  <c r="L15" i="54"/>
  <c r="K15" i="54"/>
  <c r="J15" i="54"/>
  <c r="S14" i="54"/>
  <c r="P14" i="54"/>
  <c r="O14" i="54"/>
  <c r="N14" i="54"/>
  <c r="M14" i="54"/>
  <c r="L14" i="54"/>
  <c r="K14" i="54"/>
  <c r="J14" i="54"/>
  <c r="S13" i="54"/>
  <c r="P13" i="54"/>
  <c r="O13" i="54"/>
  <c r="N13" i="54"/>
  <c r="M13" i="54"/>
  <c r="L13" i="54"/>
  <c r="K13" i="54"/>
  <c r="J13" i="54"/>
  <c r="S11" i="54"/>
  <c r="P11" i="54"/>
  <c r="O11" i="54"/>
  <c r="N11" i="54"/>
  <c r="M11" i="54"/>
  <c r="L11" i="54"/>
  <c r="K11" i="54"/>
  <c r="J11" i="54"/>
  <c r="S10" i="54"/>
  <c r="P10" i="54"/>
  <c r="O10" i="54"/>
  <c r="N10" i="54"/>
  <c r="M10" i="54"/>
  <c r="L10" i="54"/>
  <c r="K10" i="54"/>
  <c r="J10" i="54"/>
  <c r="S9" i="54"/>
  <c r="P9" i="54"/>
  <c r="O9" i="54"/>
  <c r="N9" i="54"/>
  <c r="M9" i="54"/>
  <c r="L9" i="54"/>
  <c r="K9" i="54"/>
  <c r="J9" i="54"/>
  <c r="S7" i="54"/>
  <c r="P7" i="54"/>
  <c r="O7" i="54"/>
  <c r="N7" i="54"/>
  <c r="M7" i="54"/>
  <c r="L7" i="54"/>
  <c r="K7" i="54"/>
  <c r="J7" i="54"/>
  <c r="S5" i="54"/>
  <c r="J5" i="54"/>
  <c r="S33" i="9"/>
  <c r="P33" i="9"/>
  <c r="O33" i="9"/>
  <c r="N33" i="9"/>
  <c r="M33" i="9"/>
  <c r="L33" i="9"/>
  <c r="K33" i="9"/>
  <c r="J33" i="9"/>
  <c r="J18" i="51" a="1"/>
  <c r="J18" i="51" s="1"/>
  <c r="J17" i="51"/>
  <c r="S16" i="51"/>
  <c r="P16" i="51"/>
  <c r="O16" i="51"/>
  <c r="N16" i="51"/>
  <c r="M16" i="51"/>
  <c r="L16" i="51"/>
  <c r="K16" i="51"/>
  <c r="J16" i="51"/>
  <c r="S15" i="51"/>
  <c r="P15" i="51"/>
  <c r="O15" i="51"/>
  <c r="N15" i="51"/>
  <c r="M15" i="51"/>
  <c r="L15" i="51"/>
  <c r="K15" i="51"/>
  <c r="J15" i="51"/>
  <c r="S14" i="51"/>
  <c r="P14" i="51"/>
  <c r="O14" i="51"/>
  <c r="N14" i="51"/>
  <c r="M14" i="51"/>
  <c r="L14" i="51"/>
  <c r="K14" i="51"/>
  <c r="J14" i="51"/>
  <c r="S13" i="51"/>
  <c r="P13" i="51"/>
  <c r="O13" i="51"/>
  <c r="N13" i="51"/>
  <c r="M13" i="51"/>
  <c r="L13" i="51"/>
  <c r="K13" i="51"/>
  <c r="J13" i="51"/>
  <c r="S12" i="51"/>
  <c r="P12" i="51"/>
  <c r="O12" i="51"/>
  <c r="N12" i="51"/>
  <c r="M12" i="51"/>
  <c r="L12" i="51"/>
  <c r="K12" i="51"/>
  <c r="J12" i="51"/>
  <c r="S11" i="51"/>
  <c r="P11" i="51"/>
  <c r="O11" i="51"/>
  <c r="N11" i="51"/>
  <c r="M11" i="51"/>
  <c r="L11" i="51"/>
  <c r="K11" i="51"/>
  <c r="J11" i="51"/>
  <c r="S10" i="51"/>
  <c r="P10" i="51"/>
  <c r="O10" i="51"/>
  <c r="N10" i="51"/>
  <c r="M10" i="51"/>
  <c r="L10" i="51"/>
  <c r="K10" i="51"/>
  <c r="J10" i="51"/>
  <c r="S9" i="51"/>
  <c r="P9" i="51"/>
  <c r="O9" i="51"/>
  <c r="N9" i="51"/>
  <c r="M9" i="51"/>
  <c r="L9" i="51"/>
  <c r="K9" i="51"/>
  <c r="J9" i="51"/>
  <c r="S8" i="51"/>
  <c r="P8" i="51"/>
  <c r="O8" i="51"/>
  <c r="N8" i="51"/>
  <c r="M8" i="51"/>
  <c r="L8" i="51"/>
  <c r="K8" i="51"/>
  <c r="J8" i="51"/>
  <c r="S7" i="51"/>
  <c r="P7" i="51"/>
  <c r="O7" i="51"/>
  <c r="N7" i="51"/>
  <c r="M7" i="51"/>
  <c r="L7" i="51"/>
  <c r="K7" i="51"/>
  <c r="J7" i="51"/>
  <c r="S6" i="51"/>
  <c r="P6" i="51"/>
  <c r="O6" i="51"/>
  <c r="N6" i="51"/>
  <c r="M6" i="51"/>
  <c r="L6" i="51"/>
  <c r="K6" i="51"/>
  <c r="J6" i="51"/>
  <c r="S5" i="51"/>
  <c r="J5" i="51"/>
  <c r="J33" i="50" a="1"/>
  <c r="J33" i="50" s="1"/>
  <c r="J32" i="50"/>
  <c r="S31" i="50"/>
  <c r="O31" i="50"/>
  <c r="P31" i="50"/>
  <c r="N31" i="50"/>
  <c r="M31" i="50"/>
  <c r="L31" i="50"/>
  <c r="K31" i="50"/>
  <c r="J31" i="50"/>
  <c r="S30" i="50"/>
  <c r="O30" i="50"/>
  <c r="P30" i="50"/>
  <c r="N30" i="50"/>
  <c r="M30" i="50"/>
  <c r="L30" i="50"/>
  <c r="K30" i="50"/>
  <c r="J30" i="50"/>
  <c r="S29" i="50"/>
  <c r="O29" i="50"/>
  <c r="P29" i="50"/>
  <c r="N29" i="50"/>
  <c r="M29" i="50"/>
  <c r="L29" i="50"/>
  <c r="K29" i="50"/>
  <c r="J29" i="50"/>
  <c r="S28" i="50"/>
  <c r="O28" i="50"/>
  <c r="P28" i="50"/>
  <c r="N28" i="50"/>
  <c r="M28" i="50"/>
  <c r="L28" i="50"/>
  <c r="K28" i="50"/>
  <c r="J28" i="50"/>
  <c r="S27" i="50"/>
  <c r="O27" i="50"/>
  <c r="P27" i="50"/>
  <c r="N27" i="50"/>
  <c r="M27" i="50"/>
  <c r="L27" i="50"/>
  <c r="K27" i="50"/>
  <c r="J27" i="50"/>
  <c r="S26" i="50"/>
  <c r="O26" i="50"/>
  <c r="P26" i="50"/>
  <c r="N26" i="50"/>
  <c r="M26" i="50"/>
  <c r="L26" i="50"/>
  <c r="K26" i="50"/>
  <c r="J26" i="50"/>
  <c r="S25" i="50"/>
  <c r="O25" i="50"/>
  <c r="P25" i="50"/>
  <c r="N25" i="50"/>
  <c r="M25" i="50"/>
  <c r="L25" i="50"/>
  <c r="K25" i="50"/>
  <c r="J25" i="50"/>
  <c r="S24" i="50"/>
  <c r="O24" i="50"/>
  <c r="P24" i="50"/>
  <c r="N24" i="50"/>
  <c r="M24" i="50"/>
  <c r="L24" i="50"/>
  <c r="K24" i="50"/>
  <c r="J24" i="50"/>
  <c r="S23" i="50"/>
  <c r="O23" i="50"/>
  <c r="P23" i="50"/>
  <c r="N23" i="50"/>
  <c r="M23" i="50"/>
  <c r="L23" i="50"/>
  <c r="K23" i="50"/>
  <c r="J23" i="50"/>
  <c r="S22" i="50"/>
  <c r="O22" i="50"/>
  <c r="P22" i="50"/>
  <c r="N22" i="50"/>
  <c r="M22" i="50"/>
  <c r="L22" i="50"/>
  <c r="K22" i="50"/>
  <c r="J22" i="50"/>
  <c r="S21" i="50"/>
  <c r="O21" i="50"/>
  <c r="P21" i="50"/>
  <c r="N21" i="50"/>
  <c r="M21" i="50"/>
  <c r="L21" i="50"/>
  <c r="K21" i="50"/>
  <c r="J21" i="50"/>
  <c r="S20" i="50"/>
  <c r="O20" i="50"/>
  <c r="P20" i="50"/>
  <c r="N20" i="50"/>
  <c r="M20" i="50"/>
  <c r="L20" i="50"/>
  <c r="K20" i="50"/>
  <c r="J20" i="50"/>
  <c r="S19" i="50"/>
  <c r="O19" i="50"/>
  <c r="P19" i="50"/>
  <c r="N19" i="50"/>
  <c r="M19" i="50"/>
  <c r="L19" i="50"/>
  <c r="K19" i="50"/>
  <c r="J19" i="50"/>
  <c r="S18" i="50"/>
  <c r="O18" i="50"/>
  <c r="P18" i="50"/>
  <c r="N18" i="50"/>
  <c r="M18" i="50"/>
  <c r="L18" i="50"/>
  <c r="K18" i="50"/>
  <c r="J18" i="50"/>
  <c r="S17" i="50"/>
  <c r="O17" i="50"/>
  <c r="P17" i="50"/>
  <c r="N17" i="50"/>
  <c r="M17" i="50"/>
  <c r="L17" i="50"/>
  <c r="K17" i="50"/>
  <c r="J17" i="50"/>
  <c r="S16" i="50"/>
  <c r="O16" i="50"/>
  <c r="P16" i="50"/>
  <c r="N16" i="50"/>
  <c r="M16" i="50"/>
  <c r="L16" i="50"/>
  <c r="K16" i="50"/>
  <c r="J16" i="50"/>
  <c r="S15" i="50"/>
  <c r="O15" i="50"/>
  <c r="P15" i="50"/>
  <c r="N15" i="50"/>
  <c r="M15" i="50"/>
  <c r="L15" i="50"/>
  <c r="K15" i="50"/>
  <c r="J15" i="50"/>
  <c r="S13" i="50"/>
  <c r="O13" i="50"/>
  <c r="P13" i="50"/>
  <c r="N13" i="50"/>
  <c r="M13" i="50"/>
  <c r="L13" i="50"/>
  <c r="K13" i="50"/>
  <c r="J13" i="50"/>
  <c r="S14" i="50"/>
  <c r="O14" i="50"/>
  <c r="P14" i="50"/>
  <c r="N14" i="50"/>
  <c r="M14" i="50"/>
  <c r="L14" i="50"/>
  <c r="K14" i="50"/>
  <c r="J14" i="50"/>
  <c r="S12" i="50"/>
  <c r="O12" i="50"/>
  <c r="P12" i="50"/>
  <c r="N12" i="50"/>
  <c r="M12" i="50"/>
  <c r="L12" i="50"/>
  <c r="K12" i="50"/>
  <c r="J12" i="50"/>
  <c r="S11" i="50"/>
  <c r="O11" i="50"/>
  <c r="P11" i="50"/>
  <c r="N11" i="50"/>
  <c r="M11" i="50"/>
  <c r="L11" i="50"/>
  <c r="K11" i="50"/>
  <c r="J11" i="50"/>
  <c r="S10" i="50"/>
  <c r="O10" i="50"/>
  <c r="P10" i="50"/>
  <c r="N10" i="50"/>
  <c r="M10" i="50"/>
  <c r="L10" i="50"/>
  <c r="K10" i="50"/>
  <c r="J10" i="50"/>
  <c r="S9" i="50"/>
  <c r="O9" i="50"/>
  <c r="P9" i="50"/>
  <c r="N9" i="50"/>
  <c r="M9" i="50"/>
  <c r="L9" i="50"/>
  <c r="K9" i="50"/>
  <c r="J9" i="50"/>
  <c r="S8" i="50"/>
  <c r="O8" i="50"/>
  <c r="P8" i="50"/>
  <c r="N8" i="50"/>
  <c r="M8" i="50"/>
  <c r="L8" i="50"/>
  <c r="K8" i="50"/>
  <c r="J8" i="50"/>
  <c r="S7" i="50"/>
  <c r="O7" i="50"/>
  <c r="P7" i="50"/>
  <c r="N7" i="50"/>
  <c r="M7" i="50"/>
  <c r="L7" i="50"/>
  <c r="K7" i="50"/>
  <c r="J7" i="50"/>
  <c r="S6" i="50"/>
  <c r="O6" i="50"/>
  <c r="P6" i="50"/>
  <c r="N6" i="50"/>
  <c r="M6" i="50"/>
  <c r="L6" i="50"/>
  <c r="K6" i="50"/>
  <c r="J6" i="50"/>
  <c r="S5" i="50"/>
  <c r="J5" i="50"/>
  <c r="J19" i="45" a="1"/>
  <c r="J19" i="45" s="1"/>
  <c r="J18" i="45"/>
  <c r="S17" i="45"/>
  <c r="P17" i="45"/>
  <c r="O17" i="45"/>
  <c r="N17" i="45"/>
  <c r="M17" i="45"/>
  <c r="L17" i="45"/>
  <c r="K17" i="45"/>
  <c r="J17" i="45"/>
  <c r="S16" i="45"/>
  <c r="P16" i="45"/>
  <c r="O16" i="45"/>
  <c r="N16" i="45"/>
  <c r="M16" i="45"/>
  <c r="L16" i="45"/>
  <c r="K16" i="45"/>
  <c r="J16" i="45"/>
  <c r="S15" i="45"/>
  <c r="P15" i="45"/>
  <c r="O15" i="45"/>
  <c r="N15" i="45"/>
  <c r="M15" i="45"/>
  <c r="L15" i="45"/>
  <c r="K15" i="45"/>
  <c r="J15" i="45"/>
  <c r="S14" i="45"/>
  <c r="P14" i="45"/>
  <c r="O14" i="45"/>
  <c r="N14" i="45"/>
  <c r="M14" i="45"/>
  <c r="L14" i="45"/>
  <c r="K14" i="45"/>
  <c r="J14" i="45"/>
  <c r="S13" i="45"/>
  <c r="P13" i="45"/>
  <c r="O13" i="45"/>
  <c r="N13" i="45"/>
  <c r="M13" i="45"/>
  <c r="L13" i="45"/>
  <c r="K13" i="45"/>
  <c r="J13" i="45"/>
  <c r="S12" i="45"/>
  <c r="P12" i="45"/>
  <c r="O12" i="45"/>
  <c r="N12" i="45"/>
  <c r="M12" i="45"/>
  <c r="L12" i="45"/>
  <c r="K12" i="45"/>
  <c r="J12" i="45"/>
  <c r="S11" i="45"/>
  <c r="P11" i="45"/>
  <c r="O11" i="45"/>
  <c r="N11" i="45"/>
  <c r="M11" i="45"/>
  <c r="L11" i="45"/>
  <c r="K11" i="45"/>
  <c r="J11" i="45"/>
  <c r="S10" i="45"/>
  <c r="P10" i="45"/>
  <c r="O10" i="45"/>
  <c r="N10" i="45"/>
  <c r="M10" i="45"/>
  <c r="L10" i="45"/>
  <c r="K10" i="45"/>
  <c r="J10" i="45"/>
  <c r="S9" i="45"/>
  <c r="P9" i="45"/>
  <c r="O9" i="45"/>
  <c r="N9" i="45"/>
  <c r="M9" i="45"/>
  <c r="L9" i="45"/>
  <c r="K9" i="45"/>
  <c r="J9" i="45"/>
  <c r="S8" i="45"/>
  <c r="P8" i="45"/>
  <c r="O8" i="45"/>
  <c r="N8" i="45"/>
  <c r="M8" i="45"/>
  <c r="L8" i="45"/>
  <c r="K8" i="45"/>
  <c r="J8" i="45"/>
  <c r="S7" i="45"/>
  <c r="P7" i="45"/>
  <c r="O7" i="45"/>
  <c r="N7" i="45"/>
  <c r="M7" i="45"/>
  <c r="L7" i="45"/>
  <c r="K7" i="45"/>
  <c r="J7" i="45"/>
  <c r="S6" i="45"/>
  <c r="P6" i="45"/>
  <c r="O6" i="45"/>
  <c r="N6" i="45"/>
  <c r="M6" i="45"/>
  <c r="L6" i="45"/>
  <c r="K6" i="45"/>
  <c r="J6" i="45"/>
  <c r="S5" i="45"/>
  <c r="J5" i="45"/>
  <c r="J17" i="44" a="1"/>
  <c r="J17" i="44" s="1"/>
  <c r="J16" i="44"/>
  <c r="S15" i="44"/>
  <c r="P15" i="44"/>
  <c r="O15" i="44"/>
  <c r="N15" i="44"/>
  <c r="M15" i="44"/>
  <c r="L15" i="44"/>
  <c r="K15" i="44"/>
  <c r="J15" i="44"/>
  <c r="S14" i="44"/>
  <c r="P14" i="44"/>
  <c r="O14" i="44"/>
  <c r="N14" i="44"/>
  <c r="M14" i="44"/>
  <c r="L14" i="44"/>
  <c r="K14" i="44"/>
  <c r="J14" i="44"/>
  <c r="S13" i="44"/>
  <c r="P13" i="44"/>
  <c r="O13" i="44"/>
  <c r="N13" i="44"/>
  <c r="M13" i="44"/>
  <c r="L13" i="44"/>
  <c r="K13" i="44"/>
  <c r="J13" i="44"/>
  <c r="S12" i="44"/>
  <c r="P12" i="44"/>
  <c r="O12" i="44"/>
  <c r="N12" i="44"/>
  <c r="M12" i="44"/>
  <c r="L12" i="44"/>
  <c r="K12" i="44"/>
  <c r="J12" i="44"/>
  <c r="S11" i="44"/>
  <c r="P11" i="44"/>
  <c r="O11" i="44"/>
  <c r="N11" i="44"/>
  <c r="M11" i="44"/>
  <c r="L11" i="44"/>
  <c r="K11" i="44"/>
  <c r="J11" i="44"/>
  <c r="S10" i="44"/>
  <c r="P10" i="44"/>
  <c r="O10" i="44"/>
  <c r="N10" i="44"/>
  <c r="M10" i="44"/>
  <c r="L10" i="44"/>
  <c r="K10" i="44"/>
  <c r="J10" i="44"/>
  <c r="S9" i="44"/>
  <c r="P9" i="44"/>
  <c r="O9" i="44"/>
  <c r="N9" i="44"/>
  <c r="M9" i="44"/>
  <c r="L9" i="44"/>
  <c r="K9" i="44"/>
  <c r="J9" i="44"/>
  <c r="S8" i="44"/>
  <c r="P8" i="44"/>
  <c r="O8" i="44"/>
  <c r="N8" i="44"/>
  <c r="M8" i="44"/>
  <c r="L8" i="44"/>
  <c r="K8" i="44"/>
  <c r="J8" i="44"/>
  <c r="S7" i="44"/>
  <c r="P7" i="44"/>
  <c r="O7" i="44"/>
  <c r="N7" i="44"/>
  <c r="M7" i="44"/>
  <c r="L7" i="44"/>
  <c r="K7" i="44"/>
  <c r="J7" i="44"/>
  <c r="S6" i="44"/>
  <c r="P6" i="44"/>
  <c r="O6" i="44"/>
  <c r="N6" i="44"/>
  <c r="M6" i="44"/>
  <c r="L6" i="44"/>
  <c r="K6" i="44"/>
  <c r="J6" i="44"/>
  <c r="S5" i="44"/>
  <c r="J5" i="44"/>
  <c r="J21" i="43" a="1"/>
  <c r="J21" i="43" s="1"/>
  <c r="J20" i="43"/>
  <c r="S19" i="43"/>
  <c r="P19" i="43"/>
  <c r="O19" i="43"/>
  <c r="N19" i="43"/>
  <c r="M19" i="43"/>
  <c r="L19" i="43"/>
  <c r="K19" i="43"/>
  <c r="J19" i="43"/>
  <c r="S18" i="43"/>
  <c r="P18" i="43"/>
  <c r="O18" i="43"/>
  <c r="N18" i="43"/>
  <c r="M18" i="43"/>
  <c r="L18" i="43"/>
  <c r="K18" i="43"/>
  <c r="J18" i="43"/>
  <c r="S17" i="43"/>
  <c r="P17" i="43"/>
  <c r="O17" i="43"/>
  <c r="N17" i="43"/>
  <c r="M17" i="43"/>
  <c r="L17" i="43"/>
  <c r="K17" i="43"/>
  <c r="J17" i="43"/>
  <c r="S16" i="43"/>
  <c r="P16" i="43"/>
  <c r="O16" i="43"/>
  <c r="N16" i="43"/>
  <c r="M16" i="43"/>
  <c r="L16" i="43"/>
  <c r="K16" i="43"/>
  <c r="J16" i="43"/>
  <c r="S15" i="43"/>
  <c r="P15" i="43"/>
  <c r="O15" i="43"/>
  <c r="N15" i="43"/>
  <c r="M15" i="43"/>
  <c r="L15" i="43"/>
  <c r="K15" i="43"/>
  <c r="J15" i="43"/>
  <c r="S14" i="43"/>
  <c r="P14" i="43"/>
  <c r="O14" i="43"/>
  <c r="N14" i="43"/>
  <c r="M14" i="43"/>
  <c r="L14" i="43"/>
  <c r="K14" i="43"/>
  <c r="J14" i="43"/>
  <c r="S13" i="43"/>
  <c r="P13" i="43"/>
  <c r="O13" i="43"/>
  <c r="N13" i="43"/>
  <c r="M13" i="43"/>
  <c r="L13" i="43"/>
  <c r="K13" i="43"/>
  <c r="J13" i="43"/>
  <c r="S12" i="43"/>
  <c r="P12" i="43"/>
  <c r="O12" i="43"/>
  <c r="N12" i="43"/>
  <c r="M12" i="43"/>
  <c r="L12" i="43"/>
  <c r="K12" i="43"/>
  <c r="J12" i="43"/>
  <c r="S11" i="43"/>
  <c r="P11" i="43"/>
  <c r="O11" i="43"/>
  <c r="N11" i="43"/>
  <c r="M11" i="43"/>
  <c r="L11" i="43"/>
  <c r="K11" i="43"/>
  <c r="J11" i="43"/>
  <c r="S10" i="43"/>
  <c r="P10" i="43"/>
  <c r="O10" i="43"/>
  <c r="N10" i="43"/>
  <c r="M10" i="43"/>
  <c r="L10" i="43"/>
  <c r="K10" i="43"/>
  <c r="J10" i="43"/>
  <c r="S9" i="43"/>
  <c r="P9" i="43"/>
  <c r="O9" i="43"/>
  <c r="N9" i="43"/>
  <c r="M9" i="43"/>
  <c r="L9" i="43"/>
  <c r="K9" i="43"/>
  <c r="J9" i="43"/>
  <c r="S8" i="43"/>
  <c r="P8" i="43"/>
  <c r="O8" i="43"/>
  <c r="N8" i="43"/>
  <c r="M8" i="43"/>
  <c r="L8" i="43"/>
  <c r="K8" i="43"/>
  <c r="J8" i="43"/>
  <c r="S7" i="43"/>
  <c r="P7" i="43"/>
  <c r="O7" i="43"/>
  <c r="N7" i="43"/>
  <c r="M7" i="43"/>
  <c r="L7" i="43"/>
  <c r="K7" i="43"/>
  <c r="J7" i="43"/>
  <c r="S6" i="43"/>
  <c r="P6" i="43"/>
  <c r="O6" i="43"/>
  <c r="N6" i="43"/>
  <c r="M6" i="43"/>
  <c r="L6" i="43"/>
  <c r="K6" i="43"/>
  <c r="J6" i="43"/>
  <c r="S5" i="43"/>
  <c r="J5" i="43"/>
  <c r="J15" i="42" a="1"/>
  <c r="J15" i="42" s="1"/>
  <c r="J14" i="42"/>
  <c r="S13" i="42"/>
  <c r="P13" i="42"/>
  <c r="O13" i="42"/>
  <c r="N13" i="42"/>
  <c r="M13" i="42"/>
  <c r="L13" i="42"/>
  <c r="K13" i="42"/>
  <c r="J13" i="42"/>
  <c r="S12" i="42"/>
  <c r="P12" i="42"/>
  <c r="O12" i="42"/>
  <c r="N12" i="42"/>
  <c r="M12" i="42"/>
  <c r="L12" i="42"/>
  <c r="K12" i="42"/>
  <c r="J12" i="42"/>
  <c r="S11" i="42"/>
  <c r="P11" i="42"/>
  <c r="O11" i="42"/>
  <c r="N11" i="42"/>
  <c r="M11" i="42"/>
  <c r="L11" i="42"/>
  <c r="K11" i="42"/>
  <c r="J11" i="42"/>
  <c r="S10" i="42"/>
  <c r="P10" i="42"/>
  <c r="O10" i="42"/>
  <c r="N10" i="42"/>
  <c r="M10" i="42"/>
  <c r="L10" i="42"/>
  <c r="K10" i="42"/>
  <c r="J10" i="42"/>
  <c r="S9" i="42"/>
  <c r="P9" i="42"/>
  <c r="O9" i="42"/>
  <c r="N9" i="42"/>
  <c r="M9" i="42"/>
  <c r="L9" i="42"/>
  <c r="K9" i="42"/>
  <c r="J9" i="42"/>
  <c r="S8" i="42"/>
  <c r="P8" i="42"/>
  <c r="O8" i="42"/>
  <c r="N8" i="42"/>
  <c r="M8" i="42"/>
  <c r="L8" i="42"/>
  <c r="K8" i="42"/>
  <c r="J8" i="42"/>
  <c r="S7" i="42"/>
  <c r="P7" i="42"/>
  <c r="O7" i="42"/>
  <c r="N7" i="42"/>
  <c r="M7" i="42"/>
  <c r="L7" i="42"/>
  <c r="K7" i="42"/>
  <c r="J7" i="42"/>
  <c r="S6" i="42"/>
  <c r="P6" i="42"/>
  <c r="O6" i="42"/>
  <c r="N6" i="42"/>
  <c r="M6" i="42"/>
  <c r="L6" i="42"/>
  <c r="K6" i="42"/>
  <c r="J6" i="42"/>
  <c r="S5" i="42"/>
  <c r="J5" i="42"/>
  <c r="J17" i="41" a="1"/>
  <c r="J17" i="41" s="1"/>
  <c r="J16" i="41"/>
  <c r="S15" i="41"/>
  <c r="P15" i="41"/>
  <c r="O15" i="41"/>
  <c r="N15" i="41"/>
  <c r="M15" i="41"/>
  <c r="L15" i="41"/>
  <c r="K15" i="41"/>
  <c r="J15" i="41"/>
  <c r="S14" i="41"/>
  <c r="P14" i="41"/>
  <c r="O14" i="41"/>
  <c r="N14" i="41"/>
  <c r="M14" i="41"/>
  <c r="L14" i="41"/>
  <c r="K14" i="41"/>
  <c r="J14" i="41"/>
  <c r="S13" i="41"/>
  <c r="P13" i="41"/>
  <c r="O13" i="41"/>
  <c r="N13" i="41"/>
  <c r="M13" i="41"/>
  <c r="L13" i="41"/>
  <c r="K13" i="41"/>
  <c r="J13" i="41"/>
  <c r="S12" i="41"/>
  <c r="P12" i="41"/>
  <c r="O12" i="41"/>
  <c r="N12" i="41"/>
  <c r="M12" i="41"/>
  <c r="L12" i="41"/>
  <c r="K12" i="41"/>
  <c r="J12" i="41"/>
  <c r="S11" i="41"/>
  <c r="P11" i="41"/>
  <c r="O11" i="41"/>
  <c r="N11" i="41"/>
  <c r="M11" i="41"/>
  <c r="L11" i="41"/>
  <c r="K11" i="41"/>
  <c r="J11" i="41"/>
  <c r="S10" i="41"/>
  <c r="P10" i="41"/>
  <c r="O10" i="41"/>
  <c r="N10" i="41"/>
  <c r="M10" i="41"/>
  <c r="L10" i="41"/>
  <c r="K10" i="41"/>
  <c r="J10" i="41"/>
  <c r="S9" i="41"/>
  <c r="P9" i="41"/>
  <c r="O9" i="41"/>
  <c r="N9" i="41"/>
  <c r="M9" i="41"/>
  <c r="L9" i="41"/>
  <c r="K9" i="41"/>
  <c r="J9" i="41"/>
  <c r="S8" i="41"/>
  <c r="P8" i="41"/>
  <c r="O8" i="41"/>
  <c r="N8" i="41"/>
  <c r="M8" i="41"/>
  <c r="L8" i="41"/>
  <c r="K8" i="41"/>
  <c r="J8" i="41"/>
  <c r="S7" i="41"/>
  <c r="P7" i="41"/>
  <c r="O7" i="41"/>
  <c r="N7" i="41"/>
  <c r="M7" i="41"/>
  <c r="L7" i="41"/>
  <c r="K7" i="41"/>
  <c r="J7" i="41"/>
  <c r="S6" i="41"/>
  <c r="P6" i="41"/>
  <c r="O6" i="41"/>
  <c r="N6" i="41"/>
  <c r="M6" i="41"/>
  <c r="L6" i="41"/>
  <c r="K6" i="41"/>
  <c r="J6" i="41"/>
  <c r="S5" i="41"/>
  <c r="J5" i="41"/>
  <c r="J16" i="40" a="1"/>
  <c r="J16" i="40" s="1"/>
  <c r="J15" i="40"/>
  <c r="S14" i="40"/>
  <c r="P14" i="40"/>
  <c r="O14" i="40"/>
  <c r="N14" i="40"/>
  <c r="M14" i="40"/>
  <c r="L14" i="40"/>
  <c r="K14" i="40"/>
  <c r="J14" i="40"/>
  <c r="S13" i="40"/>
  <c r="P13" i="40"/>
  <c r="O13" i="40"/>
  <c r="N13" i="40"/>
  <c r="M13" i="40"/>
  <c r="L13" i="40"/>
  <c r="K13" i="40"/>
  <c r="J13" i="40"/>
  <c r="S12" i="40"/>
  <c r="P12" i="40"/>
  <c r="O12" i="40"/>
  <c r="N12" i="40"/>
  <c r="M12" i="40"/>
  <c r="L12" i="40"/>
  <c r="K12" i="40"/>
  <c r="J12" i="40"/>
  <c r="S11" i="40"/>
  <c r="P11" i="40"/>
  <c r="O11" i="40"/>
  <c r="N11" i="40"/>
  <c r="M11" i="40"/>
  <c r="L11" i="40"/>
  <c r="K11" i="40"/>
  <c r="J11" i="40"/>
  <c r="S10" i="40"/>
  <c r="P10" i="40"/>
  <c r="O10" i="40"/>
  <c r="N10" i="40"/>
  <c r="M10" i="40"/>
  <c r="L10" i="40"/>
  <c r="K10" i="40"/>
  <c r="J10" i="40"/>
  <c r="S9" i="40"/>
  <c r="P9" i="40"/>
  <c r="O9" i="40"/>
  <c r="N9" i="40"/>
  <c r="M9" i="40"/>
  <c r="L9" i="40"/>
  <c r="K9" i="40"/>
  <c r="J9" i="40"/>
  <c r="S8" i="40"/>
  <c r="P8" i="40"/>
  <c r="O8" i="40"/>
  <c r="N8" i="40"/>
  <c r="M8" i="40"/>
  <c r="L8" i="40"/>
  <c r="K8" i="40"/>
  <c r="J8" i="40"/>
  <c r="S7" i="40"/>
  <c r="P7" i="40"/>
  <c r="O7" i="40"/>
  <c r="N7" i="40"/>
  <c r="M7" i="40"/>
  <c r="L7" i="40"/>
  <c r="K7" i="40"/>
  <c r="J7" i="40"/>
  <c r="S6" i="40"/>
  <c r="P6" i="40"/>
  <c r="O6" i="40"/>
  <c r="N6" i="40"/>
  <c r="M6" i="40"/>
  <c r="L6" i="40"/>
  <c r="K6" i="40"/>
  <c r="J6" i="40"/>
  <c r="S5" i="40"/>
  <c r="J5" i="40"/>
  <c r="I24" i="10"/>
  <c r="I25" i="10" a="1"/>
  <c r="I25" i="10" s="1"/>
  <c r="J48" i="2" a="1"/>
  <c r="J48" i="2" s="1"/>
  <c r="J20" i="36" a="1"/>
  <c r="J20" i="36" s="1"/>
  <c r="J19" i="36"/>
  <c r="S18" i="36"/>
  <c r="O18" i="36"/>
  <c r="P18" i="36"/>
  <c r="N18" i="36"/>
  <c r="M18" i="36"/>
  <c r="L18" i="36"/>
  <c r="K18" i="36"/>
  <c r="J18" i="36"/>
  <c r="S17" i="36"/>
  <c r="O17" i="36"/>
  <c r="P17" i="36"/>
  <c r="N17" i="36"/>
  <c r="M17" i="36"/>
  <c r="L17" i="36"/>
  <c r="K17" i="36"/>
  <c r="J17" i="36"/>
  <c r="S16" i="36"/>
  <c r="O16" i="36"/>
  <c r="P16" i="36"/>
  <c r="N16" i="36"/>
  <c r="M16" i="36"/>
  <c r="L16" i="36"/>
  <c r="K16" i="36"/>
  <c r="J16" i="36"/>
  <c r="S15" i="36"/>
  <c r="O15" i="36"/>
  <c r="P15" i="36"/>
  <c r="N15" i="36"/>
  <c r="M15" i="36"/>
  <c r="L15" i="36"/>
  <c r="K15" i="36"/>
  <c r="J15" i="36"/>
  <c r="S14" i="36"/>
  <c r="O14" i="36"/>
  <c r="P14" i="36"/>
  <c r="N14" i="36"/>
  <c r="M14" i="36"/>
  <c r="L14" i="36"/>
  <c r="K14" i="36"/>
  <c r="J14" i="36"/>
  <c r="S13" i="36"/>
  <c r="O13" i="36"/>
  <c r="P13" i="36"/>
  <c r="N13" i="36"/>
  <c r="M13" i="36"/>
  <c r="L13" i="36"/>
  <c r="K13" i="36"/>
  <c r="J13" i="36"/>
  <c r="S12" i="36"/>
  <c r="O12" i="36"/>
  <c r="P12" i="36"/>
  <c r="N12" i="36"/>
  <c r="M12" i="36"/>
  <c r="L12" i="36"/>
  <c r="K12" i="36"/>
  <c r="J12" i="36"/>
  <c r="S11" i="36"/>
  <c r="O11" i="36"/>
  <c r="P11" i="36"/>
  <c r="N11" i="36"/>
  <c r="M11" i="36"/>
  <c r="L11" i="36"/>
  <c r="K11" i="36"/>
  <c r="J11" i="36"/>
  <c r="S10" i="36"/>
  <c r="O10" i="36"/>
  <c r="P10" i="36"/>
  <c r="N10" i="36"/>
  <c r="M10" i="36"/>
  <c r="L10" i="36"/>
  <c r="K10" i="36"/>
  <c r="J10" i="36"/>
  <c r="S9" i="36"/>
  <c r="O9" i="36"/>
  <c r="P9" i="36"/>
  <c r="N9" i="36"/>
  <c r="M9" i="36"/>
  <c r="L9" i="36"/>
  <c r="K9" i="36"/>
  <c r="J9" i="36"/>
  <c r="S8" i="36"/>
  <c r="O8" i="36"/>
  <c r="P8" i="36"/>
  <c r="N8" i="36"/>
  <c r="M8" i="36"/>
  <c r="L8" i="36"/>
  <c r="K8" i="36"/>
  <c r="J8" i="36"/>
  <c r="S7" i="36"/>
  <c r="O7" i="36"/>
  <c r="P7" i="36"/>
  <c r="N7" i="36"/>
  <c r="M7" i="36"/>
  <c r="L7" i="36"/>
  <c r="K7" i="36"/>
  <c r="J7" i="36"/>
  <c r="S6" i="36"/>
  <c r="O6" i="36"/>
  <c r="P6" i="36"/>
  <c r="N6" i="36"/>
  <c r="M6" i="36"/>
  <c r="L6" i="36"/>
  <c r="K6" i="36"/>
  <c r="J6" i="36"/>
  <c r="S5" i="36"/>
  <c r="J5" i="36"/>
  <c r="J35" i="4" a="1"/>
  <c r="J35" i="4" s="1"/>
  <c r="J34" i="4"/>
  <c r="S33" i="4"/>
  <c r="O33" i="4"/>
  <c r="P33" i="4"/>
  <c r="N33" i="4"/>
  <c r="M33" i="4"/>
  <c r="L33" i="4"/>
  <c r="K33" i="4"/>
  <c r="J33" i="4"/>
  <c r="S32" i="4"/>
  <c r="O32" i="4"/>
  <c r="P32" i="4"/>
  <c r="N32" i="4"/>
  <c r="M32" i="4"/>
  <c r="L32" i="4"/>
  <c r="K32" i="4"/>
  <c r="J32" i="4"/>
  <c r="S31" i="4"/>
  <c r="O31" i="4"/>
  <c r="P31" i="4"/>
  <c r="N31" i="4"/>
  <c r="M31" i="4"/>
  <c r="L31" i="4"/>
  <c r="K31" i="4"/>
  <c r="J31" i="4"/>
  <c r="S30" i="4"/>
  <c r="O30" i="4"/>
  <c r="P30" i="4"/>
  <c r="N30" i="4"/>
  <c r="M30" i="4"/>
  <c r="L30" i="4"/>
  <c r="K30" i="4"/>
  <c r="J30" i="4"/>
  <c r="S29" i="4"/>
  <c r="O29" i="4"/>
  <c r="P29" i="4"/>
  <c r="N29" i="4"/>
  <c r="M29" i="4"/>
  <c r="L29" i="4"/>
  <c r="K29" i="4"/>
  <c r="J29" i="4"/>
  <c r="S28" i="4"/>
  <c r="O28" i="4"/>
  <c r="P28" i="4"/>
  <c r="N28" i="4"/>
  <c r="M28" i="4"/>
  <c r="L28" i="4"/>
  <c r="K28" i="4"/>
  <c r="J28" i="4"/>
  <c r="S27" i="4"/>
  <c r="O27" i="4"/>
  <c r="P27" i="4"/>
  <c r="N27" i="4"/>
  <c r="M27" i="4"/>
  <c r="L27" i="4"/>
  <c r="K27" i="4"/>
  <c r="J27" i="4"/>
  <c r="S26" i="4"/>
  <c r="O26" i="4"/>
  <c r="P26" i="4"/>
  <c r="N26" i="4"/>
  <c r="M26" i="4"/>
  <c r="L26" i="4"/>
  <c r="K26" i="4"/>
  <c r="J26" i="4"/>
  <c r="S25" i="4"/>
  <c r="O25" i="4"/>
  <c r="P25" i="4"/>
  <c r="N25" i="4"/>
  <c r="M25" i="4"/>
  <c r="L25" i="4"/>
  <c r="K25" i="4"/>
  <c r="J25" i="4"/>
  <c r="S24" i="4"/>
  <c r="O24" i="4"/>
  <c r="P24" i="4"/>
  <c r="N24" i="4"/>
  <c r="M24" i="4"/>
  <c r="L24" i="4"/>
  <c r="K24" i="4"/>
  <c r="J24" i="4"/>
  <c r="S23" i="4"/>
  <c r="O23" i="4"/>
  <c r="P23" i="4"/>
  <c r="N23" i="4"/>
  <c r="M23" i="4"/>
  <c r="L23" i="4"/>
  <c r="K23" i="4"/>
  <c r="J23" i="4"/>
  <c r="S22" i="4"/>
  <c r="O22" i="4"/>
  <c r="P22" i="4"/>
  <c r="N22" i="4"/>
  <c r="M22" i="4"/>
  <c r="L22" i="4"/>
  <c r="K22" i="4"/>
  <c r="J22" i="4"/>
  <c r="S21" i="4"/>
  <c r="O21" i="4"/>
  <c r="P21" i="4"/>
  <c r="N21" i="4"/>
  <c r="M21" i="4"/>
  <c r="L21" i="4"/>
  <c r="K21" i="4"/>
  <c r="J21" i="4"/>
  <c r="S20" i="4"/>
  <c r="O20" i="4"/>
  <c r="P20" i="4"/>
  <c r="N20" i="4"/>
  <c r="M20" i="4"/>
  <c r="L20" i="4"/>
  <c r="K20" i="4"/>
  <c r="J20" i="4"/>
  <c r="S19" i="4"/>
  <c r="O19" i="4"/>
  <c r="P19" i="4"/>
  <c r="N19" i="4"/>
  <c r="M19" i="4"/>
  <c r="L19" i="4"/>
  <c r="K19" i="4"/>
  <c r="J19" i="4"/>
  <c r="S18" i="4"/>
  <c r="O18" i="4"/>
  <c r="P18" i="4"/>
  <c r="N18" i="4"/>
  <c r="M18" i="4"/>
  <c r="L18" i="4"/>
  <c r="K18" i="4"/>
  <c r="J18" i="4"/>
  <c r="S17" i="4"/>
  <c r="O17" i="4"/>
  <c r="P17" i="4"/>
  <c r="N17" i="4"/>
  <c r="M17" i="4"/>
  <c r="L17" i="4"/>
  <c r="K17" i="4"/>
  <c r="J17" i="4"/>
  <c r="S16" i="4"/>
  <c r="O16" i="4"/>
  <c r="P16" i="4"/>
  <c r="N16" i="4"/>
  <c r="M16" i="4"/>
  <c r="L16" i="4"/>
  <c r="K16" i="4"/>
  <c r="J16" i="4"/>
  <c r="S15" i="4"/>
  <c r="O15" i="4"/>
  <c r="P15" i="4"/>
  <c r="N15" i="4"/>
  <c r="M15" i="4"/>
  <c r="L15" i="4"/>
  <c r="K15" i="4"/>
  <c r="J15" i="4"/>
  <c r="S14" i="4"/>
  <c r="O14" i="4"/>
  <c r="P14" i="4"/>
  <c r="N14" i="4"/>
  <c r="M14" i="4"/>
  <c r="L14" i="4"/>
  <c r="K14" i="4"/>
  <c r="J14" i="4"/>
  <c r="S13" i="4"/>
  <c r="O13" i="4"/>
  <c r="P13" i="4"/>
  <c r="N13" i="4"/>
  <c r="M13" i="4"/>
  <c r="L13" i="4"/>
  <c r="K13" i="4"/>
  <c r="J13" i="4"/>
  <c r="S12" i="4"/>
  <c r="O12" i="4"/>
  <c r="P12" i="4"/>
  <c r="N12" i="4"/>
  <c r="M12" i="4"/>
  <c r="L12" i="4"/>
  <c r="K12" i="4"/>
  <c r="J12" i="4"/>
  <c r="S11" i="4"/>
  <c r="O11" i="4"/>
  <c r="P11" i="4"/>
  <c r="N11" i="4"/>
  <c r="M11" i="4"/>
  <c r="L11" i="4"/>
  <c r="K11" i="4"/>
  <c r="J11" i="4"/>
  <c r="S10" i="4"/>
  <c r="O10" i="4"/>
  <c r="P10" i="4"/>
  <c r="N10" i="4"/>
  <c r="M10" i="4"/>
  <c r="L10" i="4"/>
  <c r="K10" i="4"/>
  <c r="J10" i="4"/>
  <c r="S9" i="4"/>
  <c r="O9" i="4"/>
  <c r="P9" i="4"/>
  <c r="N9" i="4"/>
  <c r="M9" i="4"/>
  <c r="L9" i="4"/>
  <c r="K9" i="4"/>
  <c r="J9" i="4"/>
  <c r="S8" i="4"/>
  <c r="O8" i="4"/>
  <c r="P8" i="4"/>
  <c r="N8" i="4"/>
  <c r="M8" i="4"/>
  <c r="L8" i="4"/>
  <c r="K8" i="4"/>
  <c r="J8" i="4"/>
  <c r="S7" i="4"/>
  <c r="O7" i="4"/>
  <c r="P7" i="4"/>
  <c r="N7" i="4"/>
  <c r="M7" i="4"/>
  <c r="L7" i="4"/>
  <c r="K7" i="4"/>
  <c r="J7" i="4"/>
  <c r="S6" i="4"/>
  <c r="O6" i="4"/>
  <c r="P6" i="4"/>
  <c r="N6" i="4"/>
  <c r="M6" i="4"/>
  <c r="L6" i="4"/>
  <c r="K6" i="4"/>
  <c r="J6" i="4"/>
  <c r="S5" i="4"/>
  <c r="J5" i="4"/>
  <c r="J28" i="5" a="1"/>
  <c r="J28" i="5" s="1"/>
  <c r="J27" i="5"/>
  <c r="S26" i="5"/>
  <c r="P26" i="5"/>
  <c r="O26" i="5"/>
  <c r="N26" i="5"/>
  <c r="M26" i="5"/>
  <c r="L26" i="5"/>
  <c r="K26" i="5"/>
  <c r="J26" i="5"/>
  <c r="S25" i="5"/>
  <c r="P25" i="5"/>
  <c r="O25" i="5"/>
  <c r="N25" i="5"/>
  <c r="M25" i="5"/>
  <c r="L25" i="5"/>
  <c r="K25" i="5"/>
  <c r="J25" i="5"/>
  <c r="S24" i="5"/>
  <c r="P24" i="5"/>
  <c r="O24" i="5"/>
  <c r="N24" i="5"/>
  <c r="M24" i="5"/>
  <c r="L24" i="5"/>
  <c r="K24" i="5"/>
  <c r="J24" i="5"/>
  <c r="S23" i="5"/>
  <c r="P23" i="5"/>
  <c r="O23" i="5"/>
  <c r="N23" i="5"/>
  <c r="M23" i="5"/>
  <c r="L23" i="5"/>
  <c r="K23" i="5"/>
  <c r="J23" i="5"/>
  <c r="S22" i="5"/>
  <c r="P22" i="5"/>
  <c r="O22" i="5"/>
  <c r="N22" i="5"/>
  <c r="M22" i="5"/>
  <c r="L22" i="5"/>
  <c r="K22" i="5"/>
  <c r="J22" i="5"/>
  <c r="S21" i="5"/>
  <c r="P21" i="5"/>
  <c r="O21" i="5"/>
  <c r="N21" i="5"/>
  <c r="M21" i="5"/>
  <c r="L21" i="5"/>
  <c r="K21" i="5"/>
  <c r="J21" i="5"/>
  <c r="S20" i="5"/>
  <c r="P20" i="5"/>
  <c r="O20" i="5"/>
  <c r="N20" i="5"/>
  <c r="M20" i="5"/>
  <c r="L20" i="5"/>
  <c r="K20" i="5"/>
  <c r="J20" i="5"/>
  <c r="S19" i="5"/>
  <c r="P19" i="5"/>
  <c r="O19" i="5"/>
  <c r="N19" i="5"/>
  <c r="M19" i="5"/>
  <c r="L19" i="5"/>
  <c r="K19" i="5"/>
  <c r="J19" i="5"/>
  <c r="S18" i="5"/>
  <c r="P18" i="5"/>
  <c r="O18" i="5"/>
  <c r="N18" i="5"/>
  <c r="M18" i="5"/>
  <c r="L18" i="5"/>
  <c r="K18" i="5"/>
  <c r="J18" i="5"/>
  <c r="S17" i="5"/>
  <c r="P17" i="5"/>
  <c r="O17" i="5"/>
  <c r="N17" i="5"/>
  <c r="M17" i="5"/>
  <c r="L17" i="5"/>
  <c r="K17" i="5"/>
  <c r="J17" i="5"/>
  <c r="S16" i="5"/>
  <c r="P16" i="5"/>
  <c r="O16" i="5"/>
  <c r="N16" i="5"/>
  <c r="M16" i="5"/>
  <c r="L16" i="5"/>
  <c r="K16" i="5"/>
  <c r="J16" i="5"/>
  <c r="S15" i="5"/>
  <c r="P15" i="5"/>
  <c r="O15" i="5"/>
  <c r="N15" i="5"/>
  <c r="M15" i="5"/>
  <c r="L15" i="5"/>
  <c r="K15" i="5"/>
  <c r="J15" i="5"/>
  <c r="S14" i="5"/>
  <c r="P14" i="5"/>
  <c r="O14" i="5"/>
  <c r="N14" i="5"/>
  <c r="M14" i="5"/>
  <c r="L14" i="5"/>
  <c r="K14" i="5"/>
  <c r="J14" i="5"/>
  <c r="S13" i="5"/>
  <c r="P13" i="5"/>
  <c r="O13" i="5"/>
  <c r="N13" i="5"/>
  <c r="M13" i="5"/>
  <c r="L13" i="5"/>
  <c r="K13" i="5"/>
  <c r="J13" i="5"/>
  <c r="S12" i="5"/>
  <c r="P12" i="5"/>
  <c r="O12" i="5"/>
  <c r="N12" i="5"/>
  <c r="M12" i="5"/>
  <c r="L12" i="5"/>
  <c r="K12" i="5"/>
  <c r="J12" i="5"/>
  <c r="S11" i="5"/>
  <c r="P11" i="5"/>
  <c r="O11" i="5"/>
  <c r="N11" i="5"/>
  <c r="M11" i="5"/>
  <c r="L11" i="5"/>
  <c r="K11" i="5"/>
  <c r="J11" i="5"/>
  <c r="S10" i="5"/>
  <c r="P10" i="5"/>
  <c r="O10" i="5"/>
  <c r="N10" i="5"/>
  <c r="M10" i="5"/>
  <c r="L10" i="5"/>
  <c r="K10" i="5"/>
  <c r="J10" i="5"/>
  <c r="S9" i="5"/>
  <c r="P9" i="5"/>
  <c r="O9" i="5"/>
  <c r="N9" i="5"/>
  <c r="M9" i="5"/>
  <c r="L9" i="5"/>
  <c r="K9" i="5"/>
  <c r="J9" i="5"/>
  <c r="S8" i="5"/>
  <c r="P8" i="5"/>
  <c r="O8" i="5"/>
  <c r="N8" i="5"/>
  <c r="M8" i="5"/>
  <c r="L8" i="5"/>
  <c r="K8" i="5"/>
  <c r="J8" i="5"/>
  <c r="S7" i="5"/>
  <c r="P7" i="5"/>
  <c r="O7" i="5"/>
  <c r="N7" i="5"/>
  <c r="M7" i="5"/>
  <c r="L7" i="5"/>
  <c r="K7" i="5"/>
  <c r="J7" i="5"/>
  <c r="S6" i="5"/>
  <c r="P6" i="5"/>
  <c r="O6" i="5"/>
  <c r="N6" i="5"/>
  <c r="M6" i="5"/>
  <c r="L6" i="5"/>
  <c r="K6" i="5"/>
  <c r="J6" i="5"/>
  <c r="S5" i="5"/>
  <c r="J5" i="5"/>
  <c r="J19" i="11" a="1"/>
  <c r="J19" i="11" s="1"/>
  <c r="J18" i="11"/>
  <c r="S17" i="11"/>
  <c r="P17" i="11"/>
  <c r="O17" i="11"/>
  <c r="N17" i="11"/>
  <c r="M17" i="11"/>
  <c r="L17" i="11"/>
  <c r="K17" i="11"/>
  <c r="J17" i="11"/>
  <c r="S16" i="11"/>
  <c r="P16" i="11"/>
  <c r="O16" i="11"/>
  <c r="N16" i="11"/>
  <c r="M16" i="11"/>
  <c r="L16" i="11"/>
  <c r="K16" i="11"/>
  <c r="J16" i="11"/>
  <c r="S15" i="11"/>
  <c r="P15" i="11"/>
  <c r="O15" i="11"/>
  <c r="N15" i="11"/>
  <c r="M15" i="11"/>
  <c r="L15" i="11"/>
  <c r="K15" i="11"/>
  <c r="J15" i="11"/>
  <c r="S14" i="11"/>
  <c r="P14" i="11"/>
  <c r="O14" i="11"/>
  <c r="N14" i="11"/>
  <c r="M14" i="11"/>
  <c r="L14" i="11"/>
  <c r="K14" i="11"/>
  <c r="J14" i="11"/>
  <c r="S13" i="11"/>
  <c r="P13" i="11"/>
  <c r="O13" i="11"/>
  <c r="N13" i="11"/>
  <c r="M13" i="11"/>
  <c r="L13" i="11"/>
  <c r="K13" i="11"/>
  <c r="J13" i="11"/>
  <c r="S12" i="11"/>
  <c r="P12" i="11"/>
  <c r="O12" i="11"/>
  <c r="N12" i="11"/>
  <c r="M12" i="11"/>
  <c r="L12" i="11"/>
  <c r="K12" i="11"/>
  <c r="J12" i="11"/>
  <c r="S11" i="11"/>
  <c r="P11" i="11"/>
  <c r="O11" i="11"/>
  <c r="N11" i="11"/>
  <c r="M11" i="11"/>
  <c r="L11" i="11"/>
  <c r="K11" i="11"/>
  <c r="J11" i="11"/>
  <c r="S10" i="11"/>
  <c r="P10" i="11"/>
  <c r="O10" i="11"/>
  <c r="N10" i="11"/>
  <c r="M10" i="11"/>
  <c r="L10" i="11"/>
  <c r="K10" i="11"/>
  <c r="J10" i="11"/>
  <c r="S9" i="11"/>
  <c r="P9" i="11"/>
  <c r="O9" i="11"/>
  <c r="N9" i="11"/>
  <c r="M9" i="11"/>
  <c r="L9" i="11"/>
  <c r="K9" i="11"/>
  <c r="J9" i="11"/>
  <c r="S8" i="11"/>
  <c r="P8" i="11"/>
  <c r="O8" i="11"/>
  <c r="N8" i="11"/>
  <c r="M8" i="11"/>
  <c r="L8" i="11"/>
  <c r="K8" i="11"/>
  <c r="J8" i="11"/>
  <c r="S7" i="11"/>
  <c r="P7" i="11"/>
  <c r="O7" i="11"/>
  <c r="N7" i="11"/>
  <c r="M7" i="11"/>
  <c r="L7" i="11"/>
  <c r="K7" i="11"/>
  <c r="J7" i="11"/>
  <c r="S6" i="11"/>
  <c r="P6" i="11"/>
  <c r="O6" i="11"/>
  <c r="N6" i="11"/>
  <c r="M6" i="11"/>
  <c r="L6" i="11"/>
  <c r="K6" i="11"/>
  <c r="J6" i="11"/>
  <c r="S5" i="11"/>
  <c r="J5" i="11"/>
  <c r="J40" i="9" a="1"/>
  <c r="J40" i="9" s="1"/>
  <c r="J39" i="9"/>
  <c r="S38" i="9"/>
  <c r="P38" i="9"/>
  <c r="O38" i="9"/>
  <c r="N38" i="9"/>
  <c r="M38" i="9"/>
  <c r="L38" i="9"/>
  <c r="K38" i="9"/>
  <c r="J38" i="9"/>
  <c r="S37" i="9"/>
  <c r="P37" i="9"/>
  <c r="O37" i="9"/>
  <c r="N37" i="9"/>
  <c r="M37" i="9"/>
  <c r="L37" i="9"/>
  <c r="K37" i="9"/>
  <c r="J37" i="9"/>
  <c r="S36" i="9"/>
  <c r="P36" i="9"/>
  <c r="O36" i="9"/>
  <c r="N36" i="9"/>
  <c r="M36" i="9"/>
  <c r="L36" i="9"/>
  <c r="K36" i="9"/>
  <c r="J36" i="9"/>
  <c r="S35" i="9"/>
  <c r="P35" i="9"/>
  <c r="O35" i="9"/>
  <c r="N35" i="9"/>
  <c r="M35" i="9"/>
  <c r="L35" i="9"/>
  <c r="K35" i="9"/>
  <c r="J35" i="9"/>
  <c r="S34" i="9"/>
  <c r="P34" i="9"/>
  <c r="O34" i="9"/>
  <c r="N34" i="9"/>
  <c r="M34" i="9"/>
  <c r="L34" i="9"/>
  <c r="K34" i="9"/>
  <c r="J34" i="9"/>
  <c r="S32" i="9"/>
  <c r="P32" i="9"/>
  <c r="O32" i="9"/>
  <c r="N32" i="9"/>
  <c r="M32" i="9"/>
  <c r="L32" i="9"/>
  <c r="K32" i="9"/>
  <c r="J32" i="9"/>
  <c r="S31" i="9"/>
  <c r="P31" i="9"/>
  <c r="O31" i="9"/>
  <c r="N31" i="9"/>
  <c r="M31" i="9"/>
  <c r="L31" i="9"/>
  <c r="K31" i="9"/>
  <c r="J31" i="9"/>
  <c r="S30" i="9"/>
  <c r="P30" i="9"/>
  <c r="O30" i="9"/>
  <c r="N30" i="9"/>
  <c r="M30" i="9"/>
  <c r="L30" i="9"/>
  <c r="K30" i="9"/>
  <c r="J30" i="9"/>
  <c r="S29" i="9"/>
  <c r="P29" i="9"/>
  <c r="O29" i="9"/>
  <c r="N29" i="9"/>
  <c r="M29" i="9"/>
  <c r="L29" i="9"/>
  <c r="K29" i="9"/>
  <c r="J29" i="9"/>
  <c r="S28" i="9"/>
  <c r="P28" i="9"/>
  <c r="O28" i="9"/>
  <c r="N28" i="9"/>
  <c r="M28" i="9"/>
  <c r="L28" i="9"/>
  <c r="K28" i="9"/>
  <c r="J28" i="9"/>
  <c r="S27" i="9"/>
  <c r="P27" i="9"/>
  <c r="O27" i="9"/>
  <c r="N27" i="9"/>
  <c r="M27" i="9"/>
  <c r="L27" i="9"/>
  <c r="K27" i="9"/>
  <c r="J27" i="9"/>
  <c r="S26" i="9"/>
  <c r="P26" i="9"/>
  <c r="O26" i="9"/>
  <c r="N26" i="9"/>
  <c r="M26" i="9"/>
  <c r="L26" i="9"/>
  <c r="K26" i="9"/>
  <c r="J26" i="9"/>
  <c r="S25" i="9"/>
  <c r="P25" i="9"/>
  <c r="O25" i="9"/>
  <c r="N25" i="9"/>
  <c r="M25" i="9"/>
  <c r="L25" i="9"/>
  <c r="K25" i="9"/>
  <c r="J25" i="9"/>
  <c r="S24" i="9"/>
  <c r="P24" i="9"/>
  <c r="O24" i="9"/>
  <c r="N24" i="9"/>
  <c r="M24" i="9"/>
  <c r="L24" i="9"/>
  <c r="K24" i="9"/>
  <c r="J24" i="9"/>
  <c r="S23" i="9"/>
  <c r="P23" i="9"/>
  <c r="O23" i="9"/>
  <c r="N23" i="9"/>
  <c r="M23" i="9"/>
  <c r="L23" i="9"/>
  <c r="K23" i="9"/>
  <c r="J23" i="9"/>
  <c r="S22" i="9"/>
  <c r="P22" i="9"/>
  <c r="O22" i="9"/>
  <c r="N22" i="9"/>
  <c r="M22" i="9"/>
  <c r="L22" i="9"/>
  <c r="K22" i="9"/>
  <c r="J22" i="9"/>
  <c r="S21" i="9"/>
  <c r="P21" i="9"/>
  <c r="O21" i="9"/>
  <c r="N21" i="9"/>
  <c r="M21" i="9"/>
  <c r="L21" i="9"/>
  <c r="K21" i="9"/>
  <c r="J21" i="9"/>
  <c r="S20" i="9"/>
  <c r="P20" i="9"/>
  <c r="O20" i="9"/>
  <c r="N20" i="9"/>
  <c r="M20" i="9"/>
  <c r="L20" i="9"/>
  <c r="K20" i="9"/>
  <c r="J20" i="9"/>
  <c r="S19" i="9"/>
  <c r="P19" i="9"/>
  <c r="O19" i="9"/>
  <c r="N19" i="9"/>
  <c r="M19" i="9"/>
  <c r="L19" i="9"/>
  <c r="K19" i="9"/>
  <c r="J19" i="9"/>
  <c r="S18" i="9"/>
  <c r="P18" i="9"/>
  <c r="O18" i="9"/>
  <c r="N18" i="9"/>
  <c r="M18" i="9"/>
  <c r="L18" i="9"/>
  <c r="K18" i="9"/>
  <c r="J18" i="9"/>
  <c r="S17" i="9"/>
  <c r="P17" i="9"/>
  <c r="O17" i="9"/>
  <c r="N17" i="9"/>
  <c r="M17" i="9"/>
  <c r="L17" i="9"/>
  <c r="K17" i="9"/>
  <c r="J17" i="9"/>
  <c r="S16" i="9"/>
  <c r="P16" i="9"/>
  <c r="O16" i="9"/>
  <c r="N16" i="9"/>
  <c r="M16" i="9"/>
  <c r="L16" i="9"/>
  <c r="K16" i="9"/>
  <c r="J16" i="9"/>
  <c r="S15" i="9"/>
  <c r="P15" i="9"/>
  <c r="O15" i="9"/>
  <c r="N15" i="9"/>
  <c r="M15" i="9"/>
  <c r="L15" i="9"/>
  <c r="K15" i="9"/>
  <c r="J15" i="9"/>
  <c r="S14" i="9"/>
  <c r="P14" i="9"/>
  <c r="O14" i="9"/>
  <c r="N14" i="9"/>
  <c r="M14" i="9"/>
  <c r="L14" i="9"/>
  <c r="K14" i="9"/>
  <c r="J14" i="9"/>
  <c r="S13" i="9"/>
  <c r="P13" i="9"/>
  <c r="O13" i="9"/>
  <c r="N13" i="9"/>
  <c r="M13" i="9"/>
  <c r="L13" i="9"/>
  <c r="K13" i="9"/>
  <c r="J13" i="9"/>
  <c r="S12" i="9"/>
  <c r="P12" i="9"/>
  <c r="O12" i="9"/>
  <c r="N12" i="9"/>
  <c r="M12" i="9"/>
  <c r="L12" i="9"/>
  <c r="K12" i="9"/>
  <c r="J12" i="9"/>
  <c r="S11" i="9"/>
  <c r="P11" i="9"/>
  <c r="O11" i="9"/>
  <c r="N11" i="9"/>
  <c r="M11" i="9"/>
  <c r="L11" i="9"/>
  <c r="K11" i="9"/>
  <c r="J11" i="9"/>
  <c r="S10" i="9"/>
  <c r="P10" i="9"/>
  <c r="O10" i="9"/>
  <c r="N10" i="9"/>
  <c r="M10" i="9"/>
  <c r="L10" i="9"/>
  <c r="K10" i="9"/>
  <c r="J10" i="9"/>
  <c r="S9" i="9"/>
  <c r="P9" i="9"/>
  <c r="O9" i="9"/>
  <c r="N9" i="9"/>
  <c r="M9" i="9"/>
  <c r="L9" i="9"/>
  <c r="K9" i="9"/>
  <c r="J9" i="9"/>
  <c r="S8" i="9"/>
  <c r="P8" i="9"/>
  <c r="O8" i="9"/>
  <c r="N8" i="9"/>
  <c r="M8" i="9"/>
  <c r="L8" i="9"/>
  <c r="K8" i="9"/>
  <c r="J8" i="9"/>
  <c r="S7" i="9"/>
  <c r="P7" i="9"/>
  <c r="O7" i="9"/>
  <c r="N7" i="9"/>
  <c r="M7" i="9"/>
  <c r="L7" i="9"/>
  <c r="K7" i="9"/>
  <c r="J7" i="9"/>
  <c r="S6" i="9"/>
  <c r="P6" i="9"/>
  <c r="O6" i="9"/>
  <c r="N6" i="9"/>
  <c r="M6" i="9"/>
  <c r="L6" i="9"/>
  <c r="K6" i="9"/>
  <c r="J6" i="9"/>
  <c r="S5" i="9"/>
  <c r="J5" i="9"/>
  <c r="J20" i="6" a="1"/>
  <c r="J20" i="6" s="1"/>
  <c r="J19" i="6"/>
  <c r="S18" i="6"/>
  <c r="P18" i="6"/>
  <c r="O18" i="6"/>
  <c r="N18" i="6"/>
  <c r="M18" i="6"/>
  <c r="L18" i="6"/>
  <c r="K18" i="6"/>
  <c r="J18" i="6"/>
  <c r="S17" i="6"/>
  <c r="P17" i="6"/>
  <c r="O17" i="6"/>
  <c r="N17" i="6"/>
  <c r="M17" i="6"/>
  <c r="L17" i="6"/>
  <c r="K17" i="6"/>
  <c r="J17" i="6"/>
  <c r="S16" i="6"/>
  <c r="P16" i="6"/>
  <c r="O16" i="6"/>
  <c r="N16" i="6"/>
  <c r="M16" i="6"/>
  <c r="L16" i="6"/>
  <c r="K16" i="6"/>
  <c r="J16" i="6"/>
  <c r="S15" i="6"/>
  <c r="P15" i="6"/>
  <c r="O15" i="6"/>
  <c r="N15" i="6"/>
  <c r="M15" i="6"/>
  <c r="L15" i="6"/>
  <c r="K15" i="6"/>
  <c r="J15" i="6"/>
  <c r="S14" i="6"/>
  <c r="P14" i="6"/>
  <c r="O14" i="6"/>
  <c r="N14" i="6"/>
  <c r="M14" i="6"/>
  <c r="L14" i="6"/>
  <c r="K14" i="6"/>
  <c r="J14" i="6"/>
  <c r="S13" i="6"/>
  <c r="P13" i="6"/>
  <c r="O13" i="6"/>
  <c r="N13" i="6"/>
  <c r="M13" i="6"/>
  <c r="L13" i="6"/>
  <c r="K13" i="6"/>
  <c r="J13" i="6"/>
  <c r="S12" i="6"/>
  <c r="P12" i="6"/>
  <c r="O12" i="6"/>
  <c r="N12" i="6"/>
  <c r="M12" i="6"/>
  <c r="L12" i="6"/>
  <c r="K12" i="6"/>
  <c r="J12" i="6"/>
  <c r="S11" i="6"/>
  <c r="P11" i="6"/>
  <c r="O11" i="6"/>
  <c r="N11" i="6"/>
  <c r="M11" i="6"/>
  <c r="L11" i="6"/>
  <c r="K11" i="6"/>
  <c r="J11" i="6"/>
  <c r="S10" i="6"/>
  <c r="P10" i="6"/>
  <c r="O10" i="6"/>
  <c r="N10" i="6"/>
  <c r="M10" i="6"/>
  <c r="L10" i="6"/>
  <c r="K10" i="6"/>
  <c r="J10" i="6"/>
  <c r="S9" i="6"/>
  <c r="P9" i="6"/>
  <c r="O9" i="6"/>
  <c r="N9" i="6"/>
  <c r="M9" i="6"/>
  <c r="L9" i="6"/>
  <c r="K9" i="6"/>
  <c r="J9" i="6"/>
  <c r="S8" i="6"/>
  <c r="P8" i="6"/>
  <c r="O8" i="6"/>
  <c r="N8" i="6"/>
  <c r="M8" i="6"/>
  <c r="L8" i="6"/>
  <c r="K8" i="6"/>
  <c r="J8" i="6"/>
  <c r="S7" i="6"/>
  <c r="P7" i="6"/>
  <c r="O7" i="6"/>
  <c r="N7" i="6"/>
  <c r="M7" i="6"/>
  <c r="L7" i="6"/>
  <c r="K7" i="6"/>
  <c r="J7" i="6"/>
  <c r="S6" i="6"/>
  <c r="P6" i="6"/>
  <c r="O6" i="6"/>
  <c r="N6" i="6"/>
  <c r="M6" i="6"/>
  <c r="L6" i="6"/>
  <c r="K6" i="6"/>
  <c r="J6" i="6"/>
  <c r="S5" i="6"/>
  <c r="J5" i="6"/>
  <c r="S1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0" i="2"/>
  <c r="S9" i="2"/>
  <c r="S8" i="2"/>
  <c r="S7" i="2"/>
  <c r="O18" i="2"/>
  <c r="P18" i="2"/>
  <c r="N18" i="2"/>
  <c r="M18" i="2"/>
  <c r="L18" i="2"/>
  <c r="K18" i="2"/>
  <c r="J18" i="2"/>
  <c r="O17" i="2"/>
  <c r="P17" i="2"/>
  <c r="N17" i="2"/>
  <c r="M17" i="2"/>
  <c r="L17" i="2"/>
  <c r="K17" i="2"/>
  <c r="J17" i="2"/>
  <c r="O16" i="2"/>
  <c r="P16" i="2"/>
  <c r="N16" i="2"/>
  <c r="M16" i="2"/>
  <c r="L16" i="2"/>
  <c r="K16" i="2"/>
  <c r="J16" i="2"/>
  <c r="O15" i="2"/>
  <c r="P15" i="2"/>
  <c r="N15" i="2"/>
  <c r="M15" i="2"/>
  <c r="L15" i="2"/>
  <c r="K15" i="2"/>
  <c r="J15" i="2"/>
  <c r="O14" i="2"/>
  <c r="P14" i="2"/>
  <c r="N14" i="2"/>
  <c r="M14" i="2"/>
  <c r="L14" i="2"/>
  <c r="K14" i="2"/>
  <c r="J14" i="2"/>
  <c r="O13" i="2"/>
  <c r="P13" i="2"/>
  <c r="N13" i="2"/>
  <c r="M13" i="2"/>
  <c r="L13" i="2"/>
  <c r="K13" i="2"/>
  <c r="J13" i="2"/>
  <c r="O12" i="2"/>
  <c r="P12" i="2"/>
  <c r="N12" i="2"/>
  <c r="M12" i="2"/>
  <c r="L12" i="2"/>
  <c r="K12" i="2"/>
  <c r="J12" i="2"/>
  <c r="O11" i="2"/>
  <c r="P11" i="2"/>
  <c r="N11" i="2"/>
  <c r="M11" i="2"/>
  <c r="L11" i="2"/>
  <c r="K11" i="2"/>
  <c r="J11" i="2"/>
  <c r="O10" i="2"/>
  <c r="P10" i="2"/>
  <c r="N10" i="2"/>
  <c r="M10" i="2"/>
  <c r="L10" i="2"/>
  <c r="K10" i="2"/>
  <c r="J10" i="2"/>
  <c r="O9" i="2"/>
  <c r="P9" i="2"/>
  <c r="N9" i="2"/>
  <c r="M9" i="2"/>
  <c r="L9" i="2"/>
  <c r="K9" i="2"/>
  <c r="J9" i="2"/>
  <c r="O8" i="2"/>
  <c r="P8" i="2"/>
  <c r="N8" i="2"/>
  <c r="M8" i="2"/>
  <c r="L8" i="2"/>
  <c r="K8" i="2"/>
  <c r="J8" i="2"/>
  <c r="O7" i="2"/>
  <c r="P7" i="2"/>
  <c r="N7" i="2"/>
  <c r="M7" i="2"/>
  <c r="L7" i="2"/>
  <c r="K7" i="2"/>
  <c r="J7" i="2"/>
  <c r="O30" i="2"/>
  <c r="P30" i="2"/>
  <c r="N30" i="2"/>
  <c r="M30" i="2"/>
  <c r="L30" i="2"/>
  <c r="K30" i="2"/>
  <c r="J30" i="2"/>
  <c r="O29" i="2"/>
  <c r="P29" i="2"/>
  <c r="N29" i="2"/>
  <c r="M29" i="2"/>
  <c r="L29" i="2"/>
  <c r="K29" i="2"/>
  <c r="J29" i="2"/>
  <c r="O28" i="2"/>
  <c r="P28" i="2"/>
  <c r="N28" i="2"/>
  <c r="M28" i="2"/>
  <c r="L28" i="2"/>
  <c r="K28" i="2"/>
  <c r="J28" i="2"/>
  <c r="O27" i="2"/>
  <c r="P27" i="2"/>
  <c r="N27" i="2"/>
  <c r="M27" i="2"/>
  <c r="L27" i="2"/>
  <c r="K27" i="2"/>
  <c r="J27" i="2"/>
  <c r="O26" i="2"/>
  <c r="P26" i="2"/>
  <c r="N26" i="2"/>
  <c r="M26" i="2"/>
  <c r="L26" i="2"/>
  <c r="K26" i="2"/>
  <c r="J26" i="2"/>
  <c r="O25" i="2"/>
  <c r="P25" i="2"/>
  <c r="N25" i="2"/>
  <c r="M25" i="2"/>
  <c r="L25" i="2"/>
  <c r="K25" i="2"/>
  <c r="J25" i="2"/>
  <c r="O24" i="2"/>
  <c r="P24" i="2"/>
  <c r="N24" i="2"/>
  <c r="M24" i="2"/>
  <c r="L24" i="2"/>
  <c r="K24" i="2"/>
  <c r="J24" i="2"/>
  <c r="O23" i="2"/>
  <c r="P23" i="2"/>
  <c r="N23" i="2"/>
  <c r="M23" i="2"/>
  <c r="L23" i="2"/>
  <c r="K23" i="2"/>
  <c r="J23" i="2"/>
  <c r="O22" i="2"/>
  <c r="P22" i="2"/>
  <c r="N22" i="2"/>
  <c r="M22" i="2"/>
  <c r="L22" i="2"/>
  <c r="K22" i="2"/>
  <c r="J22" i="2"/>
  <c r="O21" i="2"/>
  <c r="P21" i="2"/>
  <c r="N21" i="2"/>
  <c r="M21" i="2"/>
  <c r="L21" i="2"/>
  <c r="K21" i="2"/>
  <c r="J21" i="2"/>
  <c r="O20" i="2"/>
  <c r="P20" i="2"/>
  <c r="N20" i="2"/>
  <c r="M20" i="2"/>
  <c r="L20" i="2"/>
  <c r="K20" i="2"/>
  <c r="J20" i="2"/>
  <c r="O19" i="2"/>
  <c r="P19" i="2"/>
  <c r="N19" i="2"/>
  <c r="M19" i="2"/>
  <c r="L19" i="2"/>
  <c r="K19" i="2"/>
  <c r="J19" i="2"/>
  <c r="S33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2" i="2"/>
  <c r="S31" i="2"/>
  <c r="R16" i="7"/>
  <c r="R15" i="7"/>
  <c r="R14" i="7"/>
  <c r="R13" i="7"/>
  <c r="R12" i="7"/>
  <c r="R11" i="7"/>
  <c r="R10" i="7"/>
  <c r="R9" i="7"/>
  <c r="R7" i="7"/>
  <c r="R8" i="7"/>
  <c r="R6" i="7"/>
  <c r="R23" i="10"/>
  <c r="O23" i="10"/>
  <c r="N23" i="10"/>
  <c r="M23" i="10"/>
  <c r="L23" i="10"/>
  <c r="K23" i="10"/>
  <c r="J23" i="10"/>
  <c r="I23" i="10"/>
  <c r="R22" i="10"/>
  <c r="O22" i="10"/>
  <c r="N22" i="10"/>
  <c r="M22" i="10"/>
  <c r="L22" i="10"/>
  <c r="K22" i="10"/>
  <c r="J22" i="10"/>
  <c r="I22" i="10"/>
  <c r="R21" i="10"/>
  <c r="O21" i="10"/>
  <c r="N21" i="10"/>
  <c r="M21" i="10"/>
  <c r="L21" i="10"/>
  <c r="K21" i="10"/>
  <c r="J21" i="10"/>
  <c r="I21" i="10"/>
  <c r="R20" i="10"/>
  <c r="O20" i="10"/>
  <c r="N20" i="10"/>
  <c r="M20" i="10"/>
  <c r="L20" i="10"/>
  <c r="K20" i="10"/>
  <c r="J20" i="10"/>
  <c r="I20" i="10"/>
  <c r="R19" i="10"/>
  <c r="O19" i="10"/>
  <c r="N19" i="10"/>
  <c r="M19" i="10"/>
  <c r="L19" i="10"/>
  <c r="K19" i="10"/>
  <c r="J19" i="10"/>
  <c r="I19" i="10"/>
  <c r="R18" i="10"/>
  <c r="O18" i="10"/>
  <c r="N18" i="10"/>
  <c r="M18" i="10"/>
  <c r="L18" i="10"/>
  <c r="K18" i="10"/>
  <c r="J18" i="10"/>
  <c r="I18" i="10"/>
  <c r="R17" i="10"/>
  <c r="O17" i="10"/>
  <c r="N17" i="10"/>
  <c r="M17" i="10"/>
  <c r="L17" i="10"/>
  <c r="K17" i="10"/>
  <c r="J17" i="10"/>
  <c r="I17" i="10"/>
  <c r="R16" i="10"/>
  <c r="O16" i="10"/>
  <c r="N16" i="10"/>
  <c r="M16" i="10"/>
  <c r="L16" i="10"/>
  <c r="K16" i="10"/>
  <c r="J16" i="10"/>
  <c r="I16" i="10"/>
  <c r="R15" i="10"/>
  <c r="O15" i="10"/>
  <c r="N15" i="10"/>
  <c r="M15" i="10"/>
  <c r="L15" i="10"/>
  <c r="K15" i="10"/>
  <c r="J15" i="10"/>
  <c r="I15" i="10"/>
  <c r="R14" i="10"/>
  <c r="O14" i="10"/>
  <c r="N14" i="10"/>
  <c r="M14" i="10"/>
  <c r="L14" i="10"/>
  <c r="K14" i="10"/>
  <c r="J14" i="10"/>
  <c r="I14" i="10"/>
  <c r="R13" i="10"/>
  <c r="O13" i="10"/>
  <c r="N13" i="10"/>
  <c r="M13" i="10"/>
  <c r="L13" i="10"/>
  <c r="K13" i="10"/>
  <c r="J13" i="10"/>
  <c r="I13" i="10"/>
  <c r="R12" i="10"/>
  <c r="O12" i="10"/>
  <c r="N12" i="10"/>
  <c r="M12" i="10"/>
  <c r="L12" i="10"/>
  <c r="K12" i="10"/>
  <c r="J12" i="10"/>
  <c r="I12" i="10"/>
  <c r="R11" i="10"/>
  <c r="O11" i="10"/>
  <c r="N11" i="10"/>
  <c r="M11" i="10"/>
  <c r="L11" i="10"/>
  <c r="K11" i="10"/>
  <c r="J11" i="10"/>
  <c r="I11" i="10"/>
  <c r="R10" i="10"/>
  <c r="O10" i="10"/>
  <c r="N10" i="10"/>
  <c r="M10" i="10"/>
  <c r="L10" i="10"/>
  <c r="K10" i="10"/>
  <c r="J10" i="10"/>
  <c r="I10" i="10"/>
  <c r="R7" i="10"/>
  <c r="O7" i="10"/>
  <c r="N7" i="10"/>
  <c r="M7" i="10"/>
  <c r="L7" i="10"/>
  <c r="K7" i="10"/>
  <c r="J7" i="10"/>
  <c r="I7" i="10"/>
  <c r="R6" i="10"/>
  <c r="I6" i="10"/>
  <c r="I18" i="7" a="1"/>
  <c r="I18" i="7" s="1"/>
  <c r="I17" i="7"/>
  <c r="O16" i="7"/>
  <c r="N16" i="7"/>
  <c r="M16" i="7"/>
  <c r="L16" i="7"/>
  <c r="K16" i="7"/>
  <c r="J16" i="7"/>
  <c r="I16" i="7"/>
  <c r="O15" i="7"/>
  <c r="N15" i="7"/>
  <c r="M15" i="7"/>
  <c r="L15" i="7"/>
  <c r="K15" i="7"/>
  <c r="J15" i="7"/>
  <c r="I15" i="7"/>
  <c r="O14" i="7"/>
  <c r="N14" i="7"/>
  <c r="M14" i="7"/>
  <c r="L14" i="7"/>
  <c r="K14" i="7"/>
  <c r="J14" i="7"/>
  <c r="I14" i="7"/>
  <c r="O13" i="7"/>
  <c r="N13" i="7"/>
  <c r="M13" i="7"/>
  <c r="L13" i="7"/>
  <c r="K13" i="7"/>
  <c r="J13" i="7"/>
  <c r="I13" i="7"/>
  <c r="O12" i="7"/>
  <c r="N12" i="7"/>
  <c r="M12" i="7"/>
  <c r="L12" i="7"/>
  <c r="K12" i="7"/>
  <c r="J12" i="7"/>
  <c r="I12" i="7"/>
  <c r="O11" i="7"/>
  <c r="N11" i="7"/>
  <c r="M11" i="7"/>
  <c r="L11" i="7"/>
  <c r="K11" i="7"/>
  <c r="J11" i="7"/>
  <c r="I11" i="7"/>
  <c r="O10" i="7"/>
  <c r="N10" i="7"/>
  <c r="M10" i="7"/>
  <c r="L10" i="7"/>
  <c r="K10" i="7"/>
  <c r="J10" i="7"/>
  <c r="I10" i="7"/>
  <c r="O9" i="7"/>
  <c r="N9" i="7"/>
  <c r="M9" i="7"/>
  <c r="L9" i="7"/>
  <c r="K9" i="7"/>
  <c r="J9" i="7"/>
  <c r="I9" i="7"/>
  <c r="O8" i="7"/>
  <c r="N8" i="7"/>
  <c r="M8" i="7"/>
  <c r="L8" i="7"/>
  <c r="K8" i="7"/>
  <c r="J8" i="7"/>
  <c r="I8" i="7"/>
  <c r="O7" i="7"/>
  <c r="N7" i="7"/>
  <c r="M7" i="7"/>
  <c r="L7" i="7"/>
  <c r="K7" i="7"/>
  <c r="J7" i="7"/>
  <c r="I7" i="7"/>
  <c r="O6" i="7"/>
  <c r="N6" i="7"/>
  <c r="M6" i="7"/>
  <c r="L6" i="7"/>
  <c r="K6" i="7"/>
  <c r="J6" i="7"/>
  <c r="I6" i="7"/>
  <c r="R5" i="7"/>
  <c r="I5" i="7"/>
  <c r="J47" i="2"/>
  <c r="S6" i="2"/>
  <c r="S5" i="2"/>
  <c r="O36" i="2"/>
  <c r="P36" i="2"/>
  <c r="N36" i="2"/>
  <c r="M36" i="2"/>
  <c r="L36" i="2"/>
  <c r="K36" i="2"/>
  <c r="J36" i="2"/>
  <c r="O35" i="2"/>
  <c r="P35" i="2"/>
  <c r="N35" i="2"/>
  <c r="M35" i="2"/>
  <c r="L35" i="2"/>
  <c r="K35" i="2"/>
  <c r="J35" i="2"/>
  <c r="O34" i="2"/>
  <c r="P34" i="2"/>
  <c r="N34" i="2"/>
  <c r="M34" i="2"/>
  <c r="L34" i="2"/>
  <c r="K34" i="2"/>
  <c r="J34" i="2"/>
  <c r="O33" i="2"/>
  <c r="P33" i="2"/>
  <c r="N33" i="2"/>
  <c r="M33" i="2"/>
  <c r="L33" i="2"/>
  <c r="K33" i="2"/>
  <c r="J33" i="2"/>
  <c r="O32" i="2"/>
  <c r="P32" i="2"/>
  <c r="N32" i="2"/>
  <c r="M32" i="2"/>
  <c r="L32" i="2"/>
  <c r="K32" i="2"/>
  <c r="J32" i="2"/>
  <c r="O31" i="2"/>
  <c r="P31" i="2"/>
  <c r="N31" i="2"/>
  <c r="M31" i="2"/>
  <c r="L31" i="2"/>
  <c r="K31" i="2"/>
  <c r="J31" i="2"/>
  <c r="O46" i="2"/>
  <c r="O45" i="2"/>
  <c r="O44" i="2"/>
  <c r="O43" i="2"/>
  <c r="O42" i="2"/>
  <c r="O41" i="2"/>
  <c r="O40" i="2"/>
  <c r="O39" i="2"/>
  <c r="O38" i="2"/>
  <c r="O37" i="2"/>
  <c r="O6" i="2"/>
  <c r="K23" i="30"/>
  <c r="J23" i="30"/>
  <c r="I23" i="30"/>
  <c r="K22" i="30"/>
  <c r="J22" i="30"/>
  <c r="I22" i="30"/>
  <c r="K21" i="30"/>
  <c r="J21" i="30"/>
  <c r="I21" i="30"/>
  <c r="K20" i="30"/>
  <c r="J20" i="30"/>
  <c r="I20" i="30"/>
  <c r="K19" i="30"/>
  <c r="J19" i="30"/>
  <c r="I19" i="30"/>
  <c r="K18" i="30"/>
  <c r="J18" i="30"/>
  <c r="I18" i="30"/>
  <c r="K17" i="30"/>
  <c r="J17" i="30"/>
  <c r="I17" i="30"/>
  <c r="I16" i="30"/>
  <c r="N15" i="30"/>
  <c r="M15" i="30"/>
  <c r="L15" i="30"/>
  <c r="K15" i="30"/>
  <c r="J15" i="30"/>
  <c r="I15" i="30"/>
  <c r="Q15" i="30"/>
  <c r="Q14" i="30"/>
  <c r="N14" i="30"/>
  <c r="M14" i="30"/>
  <c r="L14" i="30"/>
  <c r="K14" i="30"/>
  <c r="J14" i="30"/>
  <c r="I14" i="30"/>
  <c r="N13" i="30"/>
  <c r="M13" i="30"/>
  <c r="L13" i="30"/>
  <c r="K13" i="30"/>
  <c r="J13" i="30"/>
  <c r="I13" i="30"/>
  <c r="Q13" i="30"/>
  <c r="N12" i="30"/>
  <c r="M12" i="30"/>
  <c r="L12" i="30"/>
  <c r="K12" i="30"/>
  <c r="J12" i="30"/>
  <c r="I12" i="30"/>
  <c r="Q12" i="30"/>
  <c r="Q11" i="30"/>
  <c r="N11" i="30"/>
  <c r="M11" i="30"/>
  <c r="L11" i="30"/>
  <c r="K11" i="30"/>
  <c r="J11" i="30"/>
  <c r="I11" i="30"/>
  <c r="N10" i="30"/>
  <c r="M10" i="30"/>
  <c r="L10" i="30"/>
  <c r="K10" i="30"/>
  <c r="J10" i="30"/>
  <c r="I10" i="30"/>
  <c r="Q10" i="30"/>
  <c r="N9" i="30"/>
  <c r="M9" i="30"/>
  <c r="L9" i="30"/>
  <c r="K9" i="30"/>
  <c r="J9" i="30"/>
  <c r="I9" i="30"/>
  <c r="Q9" i="30"/>
  <c r="Q8" i="30"/>
  <c r="N8" i="30"/>
  <c r="M8" i="30"/>
  <c r="L8" i="30"/>
  <c r="K8" i="30"/>
  <c r="J8" i="30"/>
  <c r="I8" i="30"/>
  <c r="N7" i="30"/>
  <c r="M7" i="30"/>
  <c r="L7" i="30"/>
  <c r="K7" i="30"/>
  <c r="J7" i="30"/>
  <c r="I7" i="30"/>
  <c r="Q7" i="30"/>
  <c r="N6" i="30"/>
  <c r="M6" i="30"/>
  <c r="L6" i="30"/>
  <c r="K6" i="30"/>
  <c r="J6" i="30"/>
  <c r="I6" i="30"/>
  <c r="Q6" i="30"/>
  <c r="I5" i="30"/>
  <c r="K25" i="29"/>
  <c r="J25" i="29"/>
  <c r="I25" i="29"/>
  <c r="K24" i="29"/>
  <c r="J24" i="29"/>
  <c r="I24" i="29"/>
  <c r="K23" i="29"/>
  <c r="J23" i="29"/>
  <c r="I23" i="29"/>
  <c r="K22" i="29"/>
  <c r="J22" i="29"/>
  <c r="I22" i="29"/>
  <c r="K21" i="29"/>
  <c r="J21" i="29"/>
  <c r="I21" i="29"/>
  <c r="K20" i="29"/>
  <c r="J20" i="29"/>
  <c r="I20" i="29"/>
  <c r="K19" i="29"/>
  <c r="J19" i="29"/>
  <c r="I19" i="29"/>
  <c r="I18" i="29"/>
  <c r="N17" i="29"/>
  <c r="M17" i="29"/>
  <c r="L17" i="29"/>
  <c r="K17" i="29"/>
  <c r="J17" i="29"/>
  <c r="I17" i="29"/>
  <c r="Q17" i="29"/>
  <c r="N16" i="29"/>
  <c r="M16" i="29"/>
  <c r="L16" i="29"/>
  <c r="K16" i="29"/>
  <c r="J16" i="29"/>
  <c r="I16" i="29"/>
  <c r="Q16" i="29"/>
  <c r="N15" i="29"/>
  <c r="M15" i="29"/>
  <c r="L15" i="29"/>
  <c r="K15" i="29"/>
  <c r="J15" i="29"/>
  <c r="I15" i="29"/>
  <c r="Q15" i="29"/>
  <c r="N14" i="29"/>
  <c r="M14" i="29"/>
  <c r="L14" i="29"/>
  <c r="K14" i="29"/>
  <c r="J14" i="29"/>
  <c r="I14" i="29"/>
  <c r="Q14" i="29"/>
  <c r="N13" i="29"/>
  <c r="M13" i="29"/>
  <c r="L13" i="29"/>
  <c r="K13" i="29"/>
  <c r="J13" i="29"/>
  <c r="I13" i="29"/>
  <c r="Q13" i="29"/>
  <c r="Q12" i="29"/>
  <c r="N12" i="29"/>
  <c r="M12" i="29"/>
  <c r="L12" i="29"/>
  <c r="K12" i="29"/>
  <c r="J12" i="29"/>
  <c r="I12" i="29"/>
  <c r="N11" i="29"/>
  <c r="M11" i="29"/>
  <c r="L11" i="29"/>
  <c r="K11" i="29"/>
  <c r="J11" i="29"/>
  <c r="I11" i="29"/>
  <c r="Q11" i="29"/>
  <c r="N10" i="29"/>
  <c r="M10" i="29"/>
  <c r="L10" i="29"/>
  <c r="K10" i="29"/>
  <c r="J10" i="29"/>
  <c r="I10" i="29"/>
  <c r="Q10" i="29"/>
  <c r="N9" i="29"/>
  <c r="M9" i="29"/>
  <c r="L9" i="29"/>
  <c r="K9" i="29"/>
  <c r="J9" i="29"/>
  <c r="I9" i="29"/>
  <c r="Q9" i="29"/>
  <c r="N8" i="29"/>
  <c r="M8" i="29"/>
  <c r="L8" i="29"/>
  <c r="K8" i="29"/>
  <c r="J8" i="29"/>
  <c r="I8" i="29"/>
  <c r="Q8" i="29"/>
  <c r="N7" i="29"/>
  <c r="M7" i="29"/>
  <c r="L7" i="29"/>
  <c r="K7" i="29"/>
  <c r="J7" i="29"/>
  <c r="I7" i="29"/>
  <c r="Q7" i="29"/>
  <c r="N6" i="29"/>
  <c r="M6" i="29"/>
  <c r="L6" i="29"/>
  <c r="K6" i="29"/>
  <c r="J6" i="29"/>
  <c r="I6" i="29"/>
  <c r="Q6" i="29"/>
  <c r="I5" i="29"/>
  <c r="K25" i="28"/>
  <c r="J25" i="28"/>
  <c r="I25" i="28"/>
  <c r="K24" i="28"/>
  <c r="J24" i="28"/>
  <c r="I24" i="28"/>
  <c r="K23" i="28"/>
  <c r="J23" i="28"/>
  <c r="I23" i="28"/>
  <c r="K22" i="28"/>
  <c r="J22" i="28"/>
  <c r="I22" i="28"/>
  <c r="K21" i="28"/>
  <c r="J21" i="28"/>
  <c r="I21" i="28"/>
  <c r="K20" i="28"/>
  <c r="J20" i="28"/>
  <c r="I20" i="28"/>
  <c r="K19" i="28"/>
  <c r="J19" i="28"/>
  <c r="I19" i="28"/>
  <c r="I18" i="28"/>
  <c r="N17" i="28"/>
  <c r="M17" i="28"/>
  <c r="L17" i="28"/>
  <c r="K17" i="28"/>
  <c r="J17" i="28"/>
  <c r="I17" i="28"/>
  <c r="Q17" i="28"/>
  <c r="N16" i="28"/>
  <c r="M16" i="28"/>
  <c r="L16" i="28"/>
  <c r="K16" i="28"/>
  <c r="J16" i="28"/>
  <c r="I16" i="28"/>
  <c r="Q16" i="28"/>
  <c r="N15" i="28"/>
  <c r="M15" i="28"/>
  <c r="L15" i="28"/>
  <c r="K15" i="28"/>
  <c r="J15" i="28"/>
  <c r="I15" i="28"/>
  <c r="Q15" i="28"/>
  <c r="N14" i="28"/>
  <c r="M14" i="28"/>
  <c r="L14" i="28"/>
  <c r="K14" i="28"/>
  <c r="J14" i="28"/>
  <c r="I14" i="28"/>
  <c r="Q14" i="28"/>
  <c r="N13" i="28"/>
  <c r="M13" i="28"/>
  <c r="L13" i="28"/>
  <c r="K13" i="28"/>
  <c r="J13" i="28"/>
  <c r="I13" i="28"/>
  <c r="Q13" i="28"/>
  <c r="Q12" i="28"/>
  <c r="N12" i="28"/>
  <c r="M12" i="28"/>
  <c r="L12" i="28"/>
  <c r="K12" i="28"/>
  <c r="J12" i="28"/>
  <c r="I12" i="28"/>
  <c r="N11" i="28"/>
  <c r="M11" i="28"/>
  <c r="L11" i="28"/>
  <c r="K11" i="28"/>
  <c r="J11" i="28"/>
  <c r="I11" i="28"/>
  <c r="Q11" i="28"/>
  <c r="N10" i="28"/>
  <c r="M10" i="28"/>
  <c r="L10" i="28"/>
  <c r="K10" i="28"/>
  <c r="J10" i="28"/>
  <c r="I10" i="28"/>
  <c r="Q10" i="28"/>
  <c r="Q9" i="28"/>
  <c r="N9" i="28"/>
  <c r="M9" i="28"/>
  <c r="L9" i="28"/>
  <c r="K9" i="28"/>
  <c r="J9" i="28"/>
  <c r="I9" i="28"/>
  <c r="N8" i="28"/>
  <c r="M8" i="28"/>
  <c r="L8" i="28"/>
  <c r="K8" i="28"/>
  <c r="J8" i="28"/>
  <c r="I8" i="28"/>
  <c r="Q8" i="28"/>
  <c r="N7" i="28"/>
  <c r="M7" i="28"/>
  <c r="L7" i="28"/>
  <c r="K7" i="28"/>
  <c r="J7" i="28"/>
  <c r="I7" i="28"/>
  <c r="Q7" i="28"/>
  <c r="Q6" i="28"/>
  <c r="N6" i="28"/>
  <c r="M6" i="28"/>
  <c r="L6" i="28"/>
  <c r="K6" i="28"/>
  <c r="J6" i="28"/>
  <c r="I6" i="28"/>
  <c r="I5" i="28"/>
  <c r="K28" i="27"/>
  <c r="J28" i="27"/>
  <c r="I28" i="27"/>
  <c r="K27" i="27"/>
  <c r="J27" i="27"/>
  <c r="I27" i="27"/>
  <c r="K26" i="27"/>
  <c r="J26" i="27"/>
  <c r="I26" i="27"/>
  <c r="K25" i="27"/>
  <c r="J25" i="27"/>
  <c r="I25" i="27"/>
  <c r="K24" i="27"/>
  <c r="J24" i="27"/>
  <c r="I24" i="27"/>
  <c r="K23" i="27"/>
  <c r="J23" i="27"/>
  <c r="I23" i="27"/>
  <c r="K22" i="27"/>
  <c r="J22" i="27"/>
  <c r="I22" i="27"/>
  <c r="I21" i="27"/>
  <c r="N20" i="27"/>
  <c r="M20" i="27"/>
  <c r="L20" i="27"/>
  <c r="K20" i="27"/>
  <c r="J20" i="27"/>
  <c r="I20" i="27"/>
  <c r="Q20" i="27"/>
  <c r="N19" i="27"/>
  <c r="M19" i="27"/>
  <c r="L19" i="27"/>
  <c r="K19" i="27"/>
  <c r="J19" i="27"/>
  <c r="I19" i="27"/>
  <c r="Q19" i="27"/>
  <c r="N18" i="27"/>
  <c r="M18" i="27"/>
  <c r="L18" i="27"/>
  <c r="K18" i="27"/>
  <c r="J18" i="27"/>
  <c r="I18" i="27"/>
  <c r="Q18" i="27"/>
  <c r="N17" i="27"/>
  <c r="M17" i="27"/>
  <c r="L17" i="27"/>
  <c r="K17" i="27"/>
  <c r="J17" i="27"/>
  <c r="I17" i="27"/>
  <c r="Q17" i="27"/>
  <c r="N16" i="27"/>
  <c r="M16" i="27"/>
  <c r="L16" i="27"/>
  <c r="K16" i="27"/>
  <c r="J16" i="27"/>
  <c r="I16" i="27"/>
  <c r="Q16" i="27"/>
  <c r="N15" i="27"/>
  <c r="M15" i="27"/>
  <c r="L15" i="27"/>
  <c r="K15" i="27"/>
  <c r="J15" i="27"/>
  <c r="I15" i="27"/>
  <c r="Q15" i="27"/>
  <c r="N14" i="27"/>
  <c r="M14" i="27"/>
  <c r="L14" i="27"/>
  <c r="K14" i="27"/>
  <c r="J14" i="27"/>
  <c r="I14" i="27"/>
  <c r="Q14" i="27"/>
  <c r="N13" i="27"/>
  <c r="M13" i="27"/>
  <c r="L13" i="27"/>
  <c r="K13" i="27"/>
  <c r="J13" i="27"/>
  <c r="I13" i="27"/>
  <c r="Q13" i="27"/>
  <c r="Q12" i="27"/>
  <c r="N12" i="27"/>
  <c r="M12" i="27"/>
  <c r="L12" i="27"/>
  <c r="K12" i="27"/>
  <c r="J12" i="27"/>
  <c r="I12" i="27"/>
  <c r="Q11" i="27"/>
  <c r="N11" i="27"/>
  <c r="M11" i="27"/>
  <c r="L11" i="27"/>
  <c r="K11" i="27"/>
  <c r="J11" i="27"/>
  <c r="I11" i="27"/>
  <c r="Q10" i="27"/>
  <c r="N10" i="27"/>
  <c r="M10" i="27"/>
  <c r="L10" i="27"/>
  <c r="K10" i="27"/>
  <c r="J10" i="27"/>
  <c r="I10" i="27"/>
  <c r="Q9" i="27"/>
  <c r="N9" i="27"/>
  <c r="M9" i="27"/>
  <c r="L9" i="27"/>
  <c r="K9" i="27"/>
  <c r="J9" i="27"/>
  <c r="I9" i="27"/>
  <c r="Q8" i="27"/>
  <c r="N8" i="27"/>
  <c r="M8" i="27"/>
  <c r="L8" i="27"/>
  <c r="K8" i="27"/>
  <c r="J8" i="27"/>
  <c r="I8" i="27"/>
  <c r="Q7" i="27"/>
  <c r="N7" i="27"/>
  <c r="M7" i="27"/>
  <c r="L7" i="27"/>
  <c r="K7" i="27"/>
  <c r="J7" i="27"/>
  <c r="I7" i="27"/>
  <c r="Q6" i="27"/>
  <c r="N6" i="27"/>
  <c r="M6" i="27"/>
  <c r="L6" i="27"/>
  <c r="K6" i="27"/>
  <c r="J6" i="27"/>
  <c r="I6" i="27"/>
  <c r="I5" i="27"/>
  <c r="K29" i="26"/>
  <c r="J29" i="26"/>
  <c r="I29" i="26"/>
  <c r="K28" i="26"/>
  <c r="J28" i="26"/>
  <c r="I28" i="26"/>
  <c r="K27" i="26"/>
  <c r="J27" i="26"/>
  <c r="I27" i="26"/>
  <c r="K26" i="26"/>
  <c r="J26" i="26"/>
  <c r="I26" i="26"/>
  <c r="K25" i="26"/>
  <c r="J25" i="26"/>
  <c r="I25" i="26"/>
  <c r="K24" i="26"/>
  <c r="J24" i="26"/>
  <c r="I24" i="26"/>
  <c r="K23" i="26"/>
  <c r="J23" i="26"/>
  <c r="I23" i="26"/>
  <c r="I22" i="26"/>
  <c r="N21" i="26"/>
  <c r="M21" i="26"/>
  <c r="L21" i="26"/>
  <c r="K21" i="26"/>
  <c r="J21" i="26"/>
  <c r="I21" i="26"/>
  <c r="Q21" i="26"/>
  <c r="N20" i="26"/>
  <c r="M20" i="26"/>
  <c r="L20" i="26"/>
  <c r="K20" i="26"/>
  <c r="J20" i="26"/>
  <c r="I20" i="26"/>
  <c r="Q20" i="26"/>
  <c r="N19" i="26"/>
  <c r="M19" i="26"/>
  <c r="L19" i="26"/>
  <c r="K19" i="26"/>
  <c r="J19" i="26"/>
  <c r="I19" i="26"/>
  <c r="Q19" i="26"/>
  <c r="N18" i="26"/>
  <c r="M18" i="26"/>
  <c r="L18" i="26"/>
  <c r="K18" i="26"/>
  <c r="J18" i="26"/>
  <c r="I18" i="26"/>
  <c r="Q18" i="26"/>
  <c r="N17" i="26"/>
  <c r="M17" i="26"/>
  <c r="L17" i="26"/>
  <c r="K17" i="26"/>
  <c r="J17" i="26"/>
  <c r="I17" i="26"/>
  <c r="Q17" i="26"/>
  <c r="Q16" i="26"/>
  <c r="N16" i="26"/>
  <c r="M16" i="26"/>
  <c r="L16" i="26"/>
  <c r="K16" i="26"/>
  <c r="J16" i="26"/>
  <c r="I16" i="26"/>
  <c r="N15" i="26"/>
  <c r="M15" i="26"/>
  <c r="L15" i="26"/>
  <c r="K15" i="26"/>
  <c r="J15" i="26"/>
  <c r="I15" i="26"/>
  <c r="Q15" i="26"/>
  <c r="N14" i="26"/>
  <c r="M14" i="26"/>
  <c r="L14" i="26"/>
  <c r="K14" i="26"/>
  <c r="J14" i="26"/>
  <c r="I14" i="26"/>
  <c r="Q14" i="26"/>
  <c r="Q13" i="26"/>
  <c r="N13" i="26"/>
  <c r="M13" i="26"/>
  <c r="L13" i="26"/>
  <c r="K13" i="26"/>
  <c r="J13" i="26"/>
  <c r="I13" i="26"/>
  <c r="Q12" i="26"/>
  <c r="N12" i="26"/>
  <c r="M12" i="26"/>
  <c r="L12" i="26"/>
  <c r="K12" i="26"/>
  <c r="J12" i="26"/>
  <c r="I12" i="26"/>
  <c r="Q11" i="26"/>
  <c r="N11" i="26"/>
  <c r="M11" i="26"/>
  <c r="L11" i="26"/>
  <c r="K11" i="26"/>
  <c r="J11" i="26"/>
  <c r="I11" i="26"/>
  <c r="Q10" i="26"/>
  <c r="N10" i="26"/>
  <c r="M10" i="26"/>
  <c r="L10" i="26"/>
  <c r="K10" i="26"/>
  <c r="J10" i="26"/>
  <c r="I10" i="26"/>
  <c r="Q9" i="26"/>
  <c r="N9" i="26"/>
  <c r="M9" i="26"/>
  <c r="L9" i="26"/>
  <c r="K9" i="26"/>
  <c r="J9" i="26"/>
  <c r="I9" i="26"/>
  <c r="Q8" i="26"/>
  <c r="N8" i="26"/>
  <c r="M8" i="26"/>
  <c r="L8" i="26"/>
  <c r="K8" i="26"/>
  <c r="J8" i="26"/>
  <c r="I8" i="26"/>
  <c r="Q7" i="26"/>
  <c r="N7" i="26"/>
  <c r="M7" i="26"/>
  <c r="L7" i="26"/>
  <c r="K7" i="26"/>
  <c r="J7" i="26"/>
  <c r="I7" i="26"/>
  <c r="Q6" i="26"/>
  <c r="N6" i="26"/>
  <c r="M6" i="26"/>
  <c r="L6" i="26"/>
  <c r="K6" i="26"/>
  <c r="J6" i="26"/>
  <c r="I6" i="26"/>
  <c r="I5" i="26"/>
  <c r="K48" i="25"/>
  <c r="J48" i="25"/>
  <c r="I48" i="25"/>
  <c r="K47" i="25"/>
  <c r="J47" i="25"/>
  <c r="I47" i="25"/>
  <c r="K46" i="25"/>
  <c r="J46" i="25"/>
  <c r="I46" i="25"/>
  <c r="K45" i="25"/>
  <c r="J45" i="25"/>
  <c r="I45" i="25"/>
  <c r="K44" i="25"/>
  <c r="J44" i="25"/>
  <c r="I44" i="25"/>
  <c r="K43" i="25"/>
  <c r="J43" i="25"/>
  <c r="I43" i="25"/>
  <c r="K42" i="25"/>
  <c r="J42" i="25"/>
  <c r="I42" i="25"/>
  <c r="I41" i="25"/>
  <c r="N40" i="25"/>
  <c r="M40" i="25"/>
  <c r="L40" i="25"/>
  <c r="K40" i="25"/>
  <c r="J40" i="25"/>
  <c r="I40" i="25"/>
  <c r="Q40" i="25"/>
  <c r="N39" i="25"/>
  <c r="M39" i="25"/>
  <c r="L39" i="25"/>
  <c r="K39" i="25"/>
  <c r="J39" i="25"/>
  <c r="I39" i="25"/>
  <c r="Q39" i="25"/>
  <c r="Q38" i="25"/>
  <c r="N38" i="25"/>
  <c r="M38" i="25"/>
  <c r="L38" i="25"/>
  <c r="K38" i="25"/>
  <c r="J38" i="25"/>
  <c r="I38" i="25"/>
  <c r="N37" i="25"/>
  <c r="M37" i="25"/>
  <c r="L37" i="25"/>
  <c r="K37" i="25"/>
  <c r="J37" i="25"/>
  <c r="I37" i="25"/>
  <c r="Q37" i="25"/>
  <c r="Q36" i="25"/>
  <c r="N36" i="25"/>
  <c r="M36" i="25"/>
  <c r="L36" i="25"/>
  <c r="K36" i="25"/>
  <c r="J36" i="25"/>
  <c r="I36" i="25"/>
  <c r="Q35" i="25"/>
  <c r="N35" i="25"/>
  <c r="M35" i="25"/>
  <c r="L35" i="25"/>
  <c r="K35" i="25"/>
  <c r="J35" i="25"/>
  <c r="I35" i="25"/>
  <c r="Q34" i="25"/>
  <c r="N34" i="25"/>
  <c r="M34" i="25"/>
  <c r="L34" i="25"/>
  <c r="K34" i="25"/>
  <c r="J34" i="25"/>
  <c r="I34" i="25"/>
  <c r="Q33" i="25"/>
  <c r="N33" i="25"/>
  <c r="M33" i="25"/>
  <c r="L33" i="25"/>
  <c r="K33" i="25"/>
  <c r="J33" i="25"/>
  <c r="I33" i="25"/>
  <c r="Q32" i="25"/>
  <c r="N32" i="25"/>
  <c r="M32" i="25"/>
  <c r="L32" i="25"/>
  <c r="K32" i="25"/>
  <c r="J32" i="25"/>
  <c r="I32" i="25"/>
  <c r="Q31" i="25"/>
  <c r="N31" i="25"/>
  <c r="M31" i="25"/>
  <c r="L31" i="25"/>
  <c r="K31" i="25"/>
  <c r="J31" i="25"/>
  <c r="I31" i="25"/>
  <c r="Q30" i="25"/>
  <c r="N30" i="25"/>
  <c r="M30" i="25"/>
  <c r="L30" i="25"/>
  <c r="K30" i="25"/>
  <c r="J30" i="25"/>
  <c r="I30" i="25"/>
  <c r="Q29" i="25"/>
  <c r="N29" i="25"/>
  <c r="M29" i="25"/>
  <c r="L29" i="25"/>
  <c r="K29" i="25"/>
  <c r="J29" i="25"/>
  <c r="I29" i="25"/>
  <c r="Q28" i="25"/>
  <c r="N28" i="25"/>
  <c r="M28" i="25"/>
  <c r="L28" i="25"/>
  <c r="K28" i="25"/>
  <c r="J28" i="25"/>
  <c r="I28" i="25"/>
  <c r="Q27" i="25"/>
  <c r="N27" i="25"/>
  <c r="M27" i="25"/>
  <c r="L27" i="25"/>
  <c r="K27" i="25"/>
  <c r="J27" i="25"/>
  <c r="I27" i="25"/>
  <c r="Q26" i="25"/>
  <c r="N26" i="25"/>
  <c r="M26" i="25"/>
  <c r="L26" i="25"/>
  <c r="K26" i="25"/>
  <c r="J26" i="25"/>
  <c r="I26" i="25"/>
  <c r="Q25" i="25"/>
  <c r="N25" i="25"/>
  <c r="M25" i="25"/>
  <c r="L25" i="25"/>
  <c r="K25" i="25"/>
  <c r="J25" i="25"/>
  <c r="I25" i="25"/>
  <c r="Q24" i="25"/>
  <c r="N24" i="25"/>
  <c r="M24" i="25"/>
  <c r="L24" i="25"/>
  <c r="K24" i="25"/>
  <c r="J24" i="25"/>
  <c r="I24" i="25"/>
  <c r="Q23" i="25"/>
  <c r="N23" i="25"/>
  <c r="M23" i="25"/>
  <c r="L23" i="25"/>
  <c r="K23" i="25"/>
  <c r="J23" i="25"/>
  <c r="I23" i="25"/>
  <c r="Q22" i="25"/>
  <c r="N22" i="25"/>
  <c r="M22" i="25"/>
  <c r="L22" i="25"/>
  <c r="K22" i="25"/>
  <c r="J22" i="25"/>
  <c r="I22" i="25"/>
  <c r="Q21" i="25"/>
  <c r="N21" i="25"/>
  <c r="M21" i="25"/>
  <c r="L21" i="25"/>
  <c r="K21" i="25"/>
  <c r="J21" i="25"/>
  <c r="I21" i="25"/>
  <c r="Q20" i="25"/>
  <c r="N20" i="25"/>
  <c r="M20" i="25"/>
  <c r="L20" i="25"/>
  <c r="K20" i="25"/>
  <c r="J20" i="25"/>
  <c r="I20" i="25"/>
  <c r="Q19" i="25"/>
  <c r="N19" i="25"/>
  <c r="M19" i="25"/>
  <c r="L19" i="25"/>
  <c r="K19" i="25"/>
  <c r="J19" i="25"/>
  <c r="I19" i="25"/>
  <c r="Q18" i="25"/>
  <c r="N18" i="25"/>
  <c r="M18" i="25"/>
  <c r="L18" i="25"/>
  <c r="K18" i="25"/>
  <c r="J18" i="25"/>
  <c r="I18" i="25"/>
  <c r="Q17" i="25"/>
  <c r="N17" i="25"/>
  <c r="M17" i="25"/>
  <c r="L17" i="25"/>
  <c r="K17" i="25"/>
  <c r="J17" i="25"/>
  <c r="I17" i="25"/>
  <c r="Q16" i="25"/>
  <c r="N16" i="25"/>
  <c r="M16" i="25"/>
  <c r="L16" i="25"/>
  <c r="K16" i="25"/>
  <c r="J16" i="25"/>
  <c r="I16" i="25"/>
  <c r="Q15" i="25"/>
  <c r="N15" i="25"/>
  <c r="M15" i="25"/>
  <c r="L15" i="25"/>
  <c r="K15" i="25"/>
  <c r="J15" i="25"/>
  <c r="I15" i="25"/>
  <c r="Q14" i="25"/>
  <c r="N14" i="25"/>
  <c r="M14" i="25"/>
  <c r="L14" i="25"/>
  <c r="K14" i="25"/>
  <c r="J14" i="25"/>
  <c r="I14" i="25"/>
  <c r="Q13" i="25"/>
  <c r="N13" i="25"/>
  <c r="M13" i="25"/>
  <c r="L13" i="25"/>
  <c r="K13" i="25"/>
  <c r="J13" i="25"/>
  <c r="I13" i="25"/>
  <c r="Q12" i="25"/>
  <c r="N12" i="25"/>
  <c r="M12" i="25"/>
  <c r="L12" i="25"/>
  <c r="K12" i="25"/>
  <c r="J12" i="25"/>
  <c r="I12" i="25"/>
  <c r="Q11" i="25"/>
  <c r="N11" i="25"/>
  <c r="M11" i="25"/>
  <c r="L11" i="25"/>
  <c r="K11" i="25"/>
  <c r="J11" i="25"/>
  <c r="I11" i="25"/>
  <c r="N10" i="25"/>
  <c r="M10" i="25"/>
  <c r="L10" i="25"/>
  <c r="K10" i="25"/>
  <c r="J10" i="25"/>
  <c r="I10" i="25"/>
  <c r="Q10" i="25"/>
  <c r="N9" i="25"/>
  <c r="M9" i="25"/>
  <c r="L9" i="25"/>
  <c r="K9" i="25"/>
  <c r="J9" i="25"/>
  <c r="I9" i="25"/>
  <c r="Q9" i="25"/>
  <c r="Q8" i="25"/>
  <c r="N8" i="25"/>
  <c r="M8" i="25"/>
  <c r="L8" i="25"/>
  <c r="K8" i="25"/>
  <c r="J8" i="25"/>
  <c r="I8" i="25"/>
  <c r="N7" i="25"/>
  <c r="M7" i="25"/>
  <c r="L7" i="25"/>
  <c r="K7" i="25"/>
  <c r="J7" i="25"/>
  <c r="I7" i="25"/>
  <c r="Q7" i="25"/>
  <c r="N6" i="25"/>
  <c r="M6" i="25"/>
  <c r="L6" i="25"/>
  <c r="K6" i="25"/>
  <c r="J6" i="25"/>
  <c r="I6" i="25"/>
  <c r="Q6" i="25"/>
  <c r="I5" i="25"/>
  <c r="K54" i="24"/>
  <c r="J54" i="24"/>
  <c r="I54" i="24"/>
  <c r="K53" i="24"/>
  <c r="J53" i="24"/>
  <c r="I53" i="24"/>
  <c r="K52" i="24"/>
  <c r="J52" i="24"/>
  <c r="I52" i="24"/>
  <c r="K51" i="24"/>
  <c r="J51" i="24"/>
  <c r="I51" i="24"/>
  <c r="K50" i="24"/>
  <c r="J50" i="24"/>
  <c r="I50" i="24"/>
  <c r="K49" i="24"/>
  <c r="J49" i="24"/>
  <c r="I49" i="24"/>
  <c r="K48" i="24"/>
  <c r="J48" i="24"/>
  <c r="I48" i="24"/>
  <c r="I47" i="24"/>
  <c r="N46" i="24"/>
  <c r="M46" i="24"/>
  <c r="L46" i="24"/>
  <c r="K46" i="24"/>
  <c r="J46" i="24"/>
  <c r="I46" i="24"/>
  <c r="Q46" i="24"/>
  <c r="N45" i="24"/>
  <c r="M45" i="24"/>
  <c r="L45" i="24"/>
  <c r="K45" i="24"/>
  <c r="J45" i="24"/>
  <c r="I45" i="24"/>
  <c r="Q45" i="24"/>
  <c r="N44" i="24"/>
  <c r="M44" i="24"/>
  <c r="L44" i="24"/>
  <c r="K44" i="24"/>
  <c r="J44" i="24"/>
  <c r="I44" i="24"/>
  <c r="Q44" i="24"/>
  <c r="N43" i="24"/>
  <c r="M43" i="24"/>
  <c r="L43" i="24"/>
  <c r="K43" i="24"/>
  <c r="J43" i="24"/>
  <c r="I43" i="24"/>
  <c r="Q43" i="24"/>
  <c r="N42" i="24"/>
  <c r="M42" i="24"/>
  <c r="L42" i="24"/>
  <c r="K42" i="24"/>
  <c r="J42" i="24"/>
  <c r="I42" i="24"/>
  <c r="Q42" i="24"/>
  <c r="Q41" i="24"/>
  <c r="N41" i="24"/>
  <c r="M41" i="24"/>
  <c r="L41" i="24"/>
  <c r="K41" i="24"/>
  <c r="J41" i="24"/>
  <c r="I41" i="24"/>
  <c r="Q40" i="24"/>
  <c r="N40" i="24"/>
  <c r="M40" i="24"/>
  <c r="L40" i="24"/>
  <c r="K40" i="24"/>
  <c r="J40" i="24"/>
  <c r="I40" i="24"/>
  <c r="Q39" i="24"/>
  <c r="N39" i="24"/>
  <c r="M39" i="24"/>
  <c r="L39" i="24"/>
  <c r="K39" i="24"/>
  <c r="J39" i="24"/>
  <c r="I39" i="24"/>
  <c r="Q38" i="24"/>
  <c r="N38" i="24"/>
  <c r="M38" i="24"/>
  <c r="L38" i="24"/>
  <c r="K38" i="24"/>
  <c r="J38" i="24"/>
  <c r="I38" i="24"/>
  <c r="Q37" i="24"/>
  <c r="N37" i="24"/>
  <c r="M37" i="24"/>
  <c r="L37" i="24"/>
  <c r="K37" i="24"/>
  <c r="J37" i="24"/>
  <c r="I37" i="24"/>
  <c r="Q36" i="24"/>
  <c r="N36" i="24"/>
  <c r="M36" i="24"/>
  <c r="L36" i="24"/>
  <c r="K36" i="24"/>
  <c r="J36" i="24"/>
  <c r="I36" i="24"/>
  <c r="Q35" i="24"/>
  <c r="N35" i="24"/>
  <c r="M35" i="24"/>
  <c r="L35" i="24"/>
  <c r="K35" i="24"/>
  <c r="J35" i="24"/>
  <c r="I35" i="24"/>
  <c r="Q34" i="24"/>
  <c r="N34" i="24"/>
  <c r="M34" i="24"/>
  <c r="L34" i="24"/>
  <c r="K34" i="24"/>
  <c r="J34" i="24"/>
  <c r="I34" i="24"/>
  <c r="Q33" i="24"/>
  <c r="N33" i="24"/>
  <c r="M33" i="24"/>
  <c r="L33" i="24"/>
  <c r="K33" i="24"/>
  <c r="J33" i="24"/>
  <c r="I33" i="24"/>
  <c r="Q32" i="24"/>
  <c r="N32" i="24"/>
  <c r="M32" i="24"/>
  <c r="L32" i="24"/>
  <c r="K32" i="24"/>
  <c r="J32" i="24"/>
  <c r="I32" i="24"/>
  <c r="Q31" i="24"/>
  <c r="N31" i="24"/>
  <c r="M31" i="24"/>
  <c r="L31" i="24"/>
  <c r="K31" i="24"/>
  <c r="J31" i="24"/>
  <c r="I31" i="24"/>
  <c r="Q30" i="24"/>
  <c r="N30" i="24"/>
  <c r="M30" i="24"/>
  <c r="L30" i="24"/>
  <c r="K30" i="24"/>
  <c r="J30" i="24"/>
  <c r="I30" i="24"/>
  <c r="Q29" i="24"/>
  <c r="N29" i="24"/>
  <c r="M29" i="24"/>
  <c r="L29" i="24"/>
  <c r="K29" i="24"/>
  <c r="J29" i="24"/>
  <c r="I29" i="24"/>
  <c r="Q28" i="24"/>
  <c r="N28" i="24"/>
  <c r="M28" i="24"/>
  <c r="L28" i="24"/>
  <c r="K28" i="24"/>
  <c r="J28" i="24"/>
  <c r="I28" i="24"/>
  <c r="Q27" i="24"/>
  <c r="N27" i="24"/>
  <c r="M27" i="24"/>
  <c r="L27" i="24"/>
  <c r="K27" i="24"/>
  <c r="J27" i="24"/>
  <c r="I27" i="24"/>
  <c r="Q26" i="24"/>
  <c r="N26" i="24"/>
  <c r="M26" i="24"/>
  <c r="L26" i="24"/>
  <c r="K26" i="24"/>
  <c r="J26" i="24"/>
  <c r="I26" i="24"/>
  <c r="Q25" i="24"/>
  <c r="N25" i="24"/>
  <c r="M25" i="24"/>
  <c r="L25" i="24"/>
  <c r="K25" i="24"/>
  <c r="J25" i="24"/>
  <c r="I25" i="24"/>
  <c r="Q24" i="24"/>
  <c r="N24" i="24"/>
  <c r="M24" i="24"/>
  <c r="L24" i="24"/>
  <c r="K24" i="24"/>
  <c r="J24" i="24"/>
  <c r="I24" i="24"/>
  <c r="Q23" i="24"/>
  <c r="N23" i="24"/>
  <c r="M23" i="24"/>
  <c r="L23" i="24"/>
  <c r="K23" i="24"/>
  <c r="J23" i="24"/>
  <c r="I23" i="24"/>
  <c r="Q22" i="24"/>
  <c r="N22" i="24"/>
  <c r="M22" i="24"/>
  <c r="L22" i="24"/>
  <c r="K22" i="24"/>
  <c r="J22" i="24"/>
  <c r="I22" i="24"/>
  <c r="Q21" i="24"/>
  <c r="N21" i="24"/>
  <c r="M21" i="24"/>
  <c r="L21" i="24"/>
  <c r="K21" i="24"/>
  <c r="J21" i="24"/>
  <c r="I21" i="24"/>
  <c r="Q20" i="24"/>
  <c r="N20" i="24"/>
  <c r="M20" i="24"/>
  <c r="L20" i="24"/>
  <c r="K20" i="24"/>
  <c r="J20" i="24"/>
  <c r="I20" i="24"/>
  <c r="Q19" i="24"/>
  <c r="N19" i="24"/>
  <c r="M19" i="24"/>
  <c r="L19" i="24"/>
  <c r="K19" i="24"/>
  <c r="J19" i="24"/>
  <c r="I19" i="24"/>
  <c r="Q18" i="24"/>
  <c r="N18" i="24"/>
  <c r="M18" i="24"/>
  <c r="L18" i="24"/>
  <c r="K18" i="24"/>
  <c r="J18" i="24"/>
  <c r="I18" i="24"/>
  <c r="Q17" i="24"/>
  <c r="N17" i="24"/>
  <c r="M17" i="24"/>
  <c r="L17" i="24"/>
  <c r="K17" i="24"/>
  <c r="J17" i="24"/>
  <c r="I17" i="24"/>
  <c r="Q16" i="24"/>
  <c r="N16" i="24"/>
  <c r="M16" i="24"/>
  <c r="L16" i="24"/>
  <c r="K16" i="24"/>
  <c r="J16" i="24"/>
  <c r="I16" i="24"/>
  <c r="Q15" i="24"/>
  <c r="N15" i="24"/>
  <c r="M15" i="24"/>
  <c r="L15" i="24"/>
  <c r="K15" i="24"/>
  <c r="J15" i="24"/>
  <c r="I15" i="24"/>
  <c r="Q14" i="24"/>
  <c r="N14" i="24"/>
  <c r="M14" i="24"/>
  <c r="L14" i="24"/>
  <c r="K14" i="24"/>
  <c r="J14" i="24"/>
  <c r="I14" i="24"/>
  <c r="Q13" i="24"/>
  <c r="N13" i="24"/>
  <c r="M13" i="24"/>
  <c r="L13" i="24"/>
  <c r="K13" i="24"/>
  <c r="J13" i="24"/>
  <c r="I13" i="24"/>
  <c r="Q12" i="24"/>
  <c r="N12" i="24"/>
  <c r="M12" i="24"/>
  <c r="L12" i="24"/>
  <c r="K12" i="24"/>
  <c r="J12" i="24"/>
  <c r="I12" i="24"/>
  <c r="Q11" i="24"/>
  <c r="N11" i="24"/>
  <c r="M11" i="24"/>
  <c r="L11" i="24"/>
  <c r="K11" i="24"/>
  <c r="J11" i="24"/>
  <c r="I11" i="24"/>
  <c r="Q10" i="24"/>
  <c r="N10" i="24"/>
  <c r="M10" i="24"/>
  <c r="L10" i="24"/>
  <c r="K10" i="24"/>
  <c r="J10" i="24"/>
  <c r="I10" i="24"/>
  <c r="N9" i="24"/>
  <c r="M9" i="24"/>
  <c r="L9" i="24"/>
  <c r="K9" i="24"/>
  <c r="J9" i="24"/>
  <c r="I9" i="24"/>
  <c r="Q9" i="24"/>
  <c r="Q8" i="24"/>
  <c r="N8" i="24"/>
  <c r="M8" i="24"/>
  <c r="L8" i="24"/>
  <c r="K8" i="24"/>
  <c r="J8" i="24"/>
  <c r="I8" i="24"/>
  <c r="Q7" i="24"/>
  <c r="N7" i="24"/>
  <c r="M7" i="24"/>
  <c r="L7" i="24"/>
  <c r="K7" i="24"/>
  <c r="J7" i="24"/>
  <c r="I7" i="24"/>
  <c r="N6" i="24"/>
  <c r="M6" i="24"/>
  <c r="L6" i="24"/>
  <c r="K6" i="24"/>
  <c r="J6" i="24"/>
  <c r="I6" i="24"/>
  <c r="Q6" i="24"/>
  <c r="I5" i="24"/>
  <c r="K49" i="23"/>
  <c r="J49" i="23"/>
  <c r="I49" i="23"/>
  <c r="K48" i="23"/>
  <c r="J48" i="23"/>
  <c r="I48" i="23"/>
  <c r="K47" i="23"/>
  <c r="J47" i="23"/>
  <c r="I47" i="23"/>
  <c r="K46" i="23"/>
  <c r="J46" i="23"/>
  <c r="I46" i="23"/>
  <c r="K45" i="23"/>
  <c r="J45" i="23"/>
  <c r="I45" i="23"/>
  <c r="K44" i="23"/>
  <c r="J44" i="23"/>
  <c r="I44" i="23"/>
  <c r="K43" i="23"/>
  <c r="J43" i="23"/>
  <c r="I43" i="23"/>
  <c r="I42" i="23"/>
  <c r="N41" i="23"/>
  <c r="M41" i="23"/>
  <c r="L41" i="23"/>
  <c r="K41" i="23"/>
  <c r="J41" i="23"/>
  <c r="I41" i="23"/>
  <c r="Q41" i="23"/>
  <c r="N40" i="23"/>
  <c r="M40" i="23"/>
  <c r="L40" i="23"/>
  <c r="K40" i="23"/>
  <c r="J40" i="23"/>
  <c r="I40" i="23"/>
  <c r="Q40" i="23"/>
  <c r="N39" i="23"/>
  <c r="M39" i="23"/>
  <c r="L39" i="23"/>
  <c r="K39" i="23"/>
  <c r="J39" i="23"/>
  <c r="I39" i="23"/>
  <c r="Q39" i="23"/>
  <c r="N38" i="23"/>
  <c r="M38" i="23"/>
  <c r="L38" i="23"/>
  <c r="K38" i="23"/>
  <c r="J38" i="23"/>
  <c r="I38" i="23"/>
  <c r="Q38" i="23"/>
  <c r="Q37" i="23"/>
  <c r="N37" i="23"/>
  <c r="M37" i="23"/>
  <c r="L37" i="23"/>
  <c r="K37" i="23"/>
  <c r="J37" i="23"/>
  <c r="I37" i="23"/>
  <c r="Q36" i="23"/>
  <c r="N36" i="23"/>
  <c r="M36" i="23"/>
  <c r="L36" i="23"/>
  <c r="K36" i="23"/>
  <c r="J36" i="23"/>
  <c r="I36" i="23"/>
  <c r="Q35" i="23"/>
  <c r="N35" i="23"/>
  <c r="M35" i="23"/>
  <c r="L35" i="23"/>
  <c r="K35" i="23"/>
  <c r="J35" i="23"/>
  <c r="I35" i="23"/>
  <c r="Q34" i="23"/>
  <c r="N34" i="23"/>
  <c r="M34" i="23"/>
  <c r="L34" i="23"/>
  <c r="K34" i="23"/>
  <c r="J34" i="23"/>
  <c r="I34" i="23"/>
  <c r="Q33" i="23"/>
  <c r="N33" i="23"/>
  <c r="M33" i="23"/>
  <c r="L33" i="23"/>
  <c r="K33" i="23"/>
  <c r="J33" i="23"/>
  <c r="I33" i="23"/>
  <c r="Q32" i="23"/>
  <c r="N32" i="23"/>
  <c r="M32" i="23"/>
  <c r="L32" i="23"/>
  <c r="K32" i="23"/>
  <c r="J32" i="23"/>
  <c r="I32" i="23"/>
  <c r="Q31" i="23"/>
  <c r="N31" i="23"/>
  <c r="M31" i="23"/>
  <c r="L31" i="23"/>
  <c r="K31" i="23"/>
  <c r="J31" i="23"/>
  <c r="I31" i="23"/>
  <c r="Q30" i="23"/>
  <c r="N30" i="23"/>
  <c r="M30" i="23"/>
  <c r="L30" i="23"/>
  <c r="K30" i="23"/>
  <c r="J30" i="23"/>
  <c r="I30" i="23"/>
  <c r="Q29" i="23"/>
  <c r="N29" i="23"/>
  <c r="M29" i="23"/>
  <c r="L29" i="23"/>
  <c r="K29" i="23"/>
  <c r="J29" i="23"/>
  <c r="I29" i="23"/>
  <c r="Q28" i="23"/>
  <c r="N28" i="23"/>
  <c r="M28" i="23"/>
  <c r="L28" i="23"/>
  <c r="K28" i="23"/>
  <c r="J28" i="23"/>
  <c r="I28" i="23"/>
  <c r="Q27" i="23"/>
  <c r="N27" i="23"/>
  <c r="M27" i="23"/>
  <c r="L27" i="23"/>
  <c r="K27" i="23"/>
  <c r="J27" i="23"/>
  <c r="I27" i="23"/>
  <c r="Q26" i="23"/>
  <c r="N26" i="23"/>
  <c r="M26" i="23"/>
  <c r="L26" i="23"/>
  <c r="K26" i="23"/>
  <c r="J26" i="23"/>
  <c r="I26" i="23"/>
  <c r="Q25" i="23"/>
  <c r="N25" i="23"/>
  <c r="M25" i="23"/>
  <c r="L25" i="23"/>
  <c r="K25" i="23"/>
  <c r="J25" i="23"/>
  <c r="I25" i="23"/>
  <c r="Q24" i="23"/>
  <c r="N24" i="23"/>
  <c r="M24" i="23"/>
  <c r="L24" i="23"/>
  <c r="K24" i="23"/>
  <c r="J24" i="23"/>
  <c r="I24" i="23"/>
  <c r="Q23" i="23"/>
  <c r="N23" i="23"/>
  <c r="M23" i="23"/>
  <c r="L23" i="23"/>
  <c r="K23" i="23"/>
  <c r="J23" i="23"/>
  <c r="I23" i="23"/>
  <c r="Q22" i="23"/>
  <c r="N22" i="23"/>
  <c r="M22" i="23"/>
  <c r="L22" i="23"/>
  <c r="K22" i="23"/>
  <c r="J22" i="23"/>
  <c r="I22" i="23"/>
  <c r="Q21" i="23"/>
  <c r="N21" i="23"/>
  <c r="M21" i="23"/>
  <c r="L21" i="23"/>
  <c r="K21" i="23"/>
  <c r="J21" i="23"/>
  <c r="I21" i="23"/>
  <c r="Q20" i="23"/>
  <c r="N20" i="23"/>
  <c r="M20" i="23"/>
  <c r="L20" i="23"/>
  <c r="K20" i="23"/>
  <c r="J20" i="23"/>
  <c r="I20" i="23"/>
  <c r="Q19" i="23"/>
  <c r="N19" i="23"/>
  <c r="M19" i="23"/>
  <c r="L19" i="23"/>
  <c r="K19" i="23"/>
  <c r="J19" i="23"/>
  <c r="I19" i="23"/>
  <c r="Q18" i="23"/>
  <c r="N18" i="23"/>
  <c r="M18" i="23"/>
  <c r="L18" i="23"/>
  <c r="K18" i="23"/>
  <c r="J18" i="23"/>
  <c r="I18" i="23"/>
  <c r="Q17" i="23"/>
  <c r="N17" i="23"/>
  <c r="M17" i="23"/>
  <c r="L17" i="23"/>
  <c r="K17" i="23"/>
  <c r="J17" i="23"/>
  <c r="I17" i="23"/>
  <c r="Q16" i="23"/>
  <c r="N16" i="23"/>
  <c r="M16" i="23"/>
  <c r="L16" i="23"/>
  <c r="K16" i="23"/>
  <c r="J16" i="23"/>
  <c r="I16" i="23"/>
  <c r="Q15" i="23"/>
  <c r="N15" i="23"/>
  <c r="M15" i="23"/>
  <c r="L15" i="23"/>
  <c r="K15" i="23"/>
  <c r="J15" i="23"/>
  <c r="I15" i="23"/>
  <c r="Q14" i="23"/>
  <c r="N14" i="23"/>
  <c r="M14" i="23"/>
  <c r="L14" i="23"/>
  <c r="K14" i="23"/>
  <c r="J14" i="23"/>
  <c r="I14" i="23"/>
  <c r="Q13" i="23"/>
  <c r="N13" i="23"/>
  <c r="M13" i="23"/>
  <c r="L13" i="23"/>
  <c r="K13" i="23"/>
  <c r="J13" i="23"/>
  <c r="I13" i="23"/>
  <c r="Q12" i="23"/>
  <c r="N12" i="23"/>
  <c r="M12" i="23"/>
  <c r="L12" i="23"/>
  <c r="K12" i="23"/>
  <c r="J12" i="23"/>
  <c r="I12" i="23"/>
  <c r="Q11" i="23"/>
  <c r="N11" i="23"/>
  <c r="M11" i="23"/>
  <c r="L11" i="23"/>
  <c r="K11" i="23"/>
  <c r="J11" i="23"/>
  <c r="I11" i="23"/>
  <c r="Q10" i="23"/>
  <c r="N10" i="23"/>
  <c r="M10" i="23"/>
  <c r="L10" i="23"/>
  <c r="K10" i="23"/>
  <c r="J10" i="23"/>
  <c r="I10" i="23"/>
  <c r="N9" i="23"/>
  <c r="M9" i="23"/>
  <c r="L9" i="23"/>
  <c r="K9" i="23"/>
  <c r="J9" i="23"/>
  <c r="I9" i="23"/>
  <c r="Q9" i="23"/>
  <c r="Q8" i="23"/>
  <c r="N8" i="23"/>
  <c r="M8" i="23"/>
  <c r="L8" i="23"/>
  <c r="K8" i="23"/>
  <c r="J8" i="23"/>
  <c r="I8" i="23"/>
  <c r="N7" i="23"/>
  <c r="M7" i="23"/>
  <c r="L7" i="23"/>
  <c r="K7" i="23"/>
  <c r="J7" i="23"/>
  <c r="I7" i="23"/>
  <c r="Q7" i="23"/>
  <c r="N6" i="23"/>
  <c r="M6" i="23"/>
  <c r="L6" i="23"/>
  <c r="K6" i="23"/>
  <c r="J6" i="23"/>
  <c r="I6" i="23"/>
  <c r="Q6" i="23"/>
  <c r="I5" i="23"/>
  <c r="K39" i="22"/>
  <c r="J39" i="22"/>
  <c r="I39" i="22"/>
  <c r="K38" i="22"/>
  <c r="J38" i="22"/>
  <c r="I38" i="22"/>
  <c r="K37" i="22"/>
  <c r="J37" i="22"/>
  <c r="I37" i="22"/>
  <c r="K36" i="22"/>
  <c r="J36" i="22"/>
  <c r="I36" i="22"/>
  <c r="K35" i="22"/>
  <c r="J35" i="22"/>
  <c r="I35" i="22"/>
  <c r="K34" i="22"/>
  <c r="J34" i="22"/>
  <c r="I34" i="22"/>
  <c r="K33" i="22"/>
  <c r="J33" i="22"/>
  <c r="I33" i="22"/>
  <c r="I32" i="22"/>
  <c r="Q31" i="22"/>
  <c r="N31" i="22"/>
  <c r="M31" i="22"/>
  <c r="L31" i="22"/>
  <c r="K31" i="22"/>
  <c r="J31" i="22"/>
  <c r="I31" i="22"/>
  <c r="Q30" i="22"/>
  <c r="N30" i="22"/>
  <c r="M30" i="22"/>
  <c r="L30" i="22"/>
  <c r="K30" i="22"/>
  <c r="J30" i="22"/>
  <c r="I30" i="22"/>
  <c r="Q29" i="22"/>
  <c r="N29" i="22"/>
  <c r="M29" i="22"/>
  <c r="L29" i="22"/>
  <c r="K29" i="22"/>
  <c r="J29" i="22"/>
  <c r="I29" i="22"/>
  <c r="Q28" i="22"/>
  <c r="N28" i="22"/>
  <c r="M28" i="22"/>
  <c r="L28" i="22"/>
  <c r="K28" i="22"/>
  <c r="J28" i="22"/>
  <c r="I28" i="22"/>
  <c r="Q27" i="22"/>
  <c r="N27" i="22"/>
  <c r="M27" i="22"/>
  <c r="L27" i="22"/>
  <c r="K27" i="22"/>
  <c r="J27" i="22"/>
  <c r="I27" i="22"/>
  <c r="Q26" i="22"/>
  <c r="N26" i="22"/>
  <c r="M26" i="22"/>
  <c r="L26" i="22"/>
  <c r="K26" i="22"/>
  <c r="J26" i="22"/>
  <c r="I26" i="22"/>
  <c r="Q25" i="22"/>
  <c r="N25" i="22"/>
  <c r="M25" i="22"/>
  <c r="L25" i="22"/>
  <c r="K25" i="22"/>
  <c r="J25" i="22"/>
  <c r="I25" i="22"/>
  <c r="Q24" i="22"/>
  <c r="N24" i="22"/>
  <c r="M24" i="22"/>
  <c r="L24" i="22"/>
  <c r="K24" i="22"/>
  <c r="J24" i="22"/>
  <c r="I24" i="22"/>
  <c r="Q23" i="22"/>
  <c r="N23" i="22"/>
  <c r="M23" i="22"/>
  <c r="L23" i="22"/>
  <c r="K23" i="22"/>
  <c r="J23" i="22"/>
  <c r="I23" i="22"/>
  <c r="Q22" i="22"/>
  <c r="N22" i="22"/>
  <c r="M22" i="22"/>
  <c r="L22" i="22"/>
  <c r="K22" i="22"/>
  <c r="J22" i="22"/>
  <c r="I22" i="22"/>
  <c r="Q21" i="22"/>
  <c r="N21" i="22"/>
  <c r="M21" i="22"/>
  <c r="L21" i="22"/>
  <c r="K21" i="22"/>
  <c r="J21" i="22"/>
  <c r="I21" i="22"/>
  <c r="Q20" i="22"/>
  <c r="N20" i="22"/>
  <c r="M20" i="22"/>
  <c r="L20" i="22"/>
  <c r="K20" i="22"/>
  <c r="J20" i="22"/>
  <c r="I20" i="22"/>
  <c r="Q19" i="22"/>
  <c r="N19" i="22"/>
  <c r="M19" i="22"/>
  <c r="L19" i="22"/>
  <c r="K19" i="22"/>
  <c r="J19" i="22"/>
  <c r="I19" i="22"/>
  <c r="Q18" i="22"/>
  <c r="N18" i="22"/>
  <c r="M18" i="22"/>
  <c r="L18" i="22"/>
  <c r="K18" i="22"/>
  <c r="J18" i="22"/>
  <c r="I18" i="22"/>
  <c r="Q17" i="22"/>
  <c r="N17" i="22"/>
  <c r="M17" i="22"/>
  <c r="L17" i="22"/>
  <c r="K17" i="22"/>
  <c r="J17" i="22"/>
  <c r="I17" i="22"/>
  <c r="Q16" i="22"/>
  <c r="N16" i="22"/>
  <c r="M16" i="22"/>
  <c r="L16" i="22"/>
  <c r="K16" i="22"/>
  <c r="J16" i="22"/>
  <c r="I16" i="22"/>
  <c r="Q15" i="22"/>
  <c r="N15" i="22"/>
  <c r="M15" i="22"/>
  <c r="L15" i="22"/>
  <c r="K15" i="22"/>
  <c r="J15" i="22"/>
  <c r="I15" i="22"/>
  <c r="Q14" i="22"/>
  <c r="N14" i="22"/>
  <c r="M14" i="22"/>
  <c r="L14" i="22"/>
  <c r="K14" i="22"/>
  <c r="J14" i="22"/>
  <c r="I14" i="22"/>
  <c r="Q13" i="22"/>
  <c r="N13" i="22"/>
  <c r="M13" i="22"/>
  <c r="L13" i="22"/>
  <c r="K13" i="22"/>
  <c r="J13" i="22"/>
  <c r="I13" i="22"/>
  <c r="Q12" i="22"/>
  <c r="N12" i="22"/>
  <c r="M12" i="22"/>
  <c r="L12" i="22"/>
  <c r="K12" i="22"/>
  <c r="J12" i="22"/>
  <c r="I12" i="22"/>
  <c r="Q11" i="22"/>
  <c r="N11" i="22"/>
  <c r="M11" i="22"/>
  <c r="L11" i="22"/>
  <c r="K11" i="22"/>
  <c r="J11" i="22"/>
  <c r="I11" i="22"/>
  <c r="Q10" i="22"/>
  <c r="N10" i="22"/>
  <c r="M10" i="22"/>
  <c r="L10" i="22"/>
  <c r="K10" i="22"/>
  <c r="J10" i="22"/>
  <c r="I10" i="22"/>
  <c r="N9" i="22"/>
  <c r="M9" i="22"/>
  <c r="L9" i="22"/>
  <c r="K9" i="22"/>
  <c r="J9" i="22"/>
  <c r="I9" i="22"/>
  <c r="Q9" i="22"/>
  <c r="Q8" i="22"/>
  <c r="N8" i="22"/>
  <c r="M8" i="22"/>
  <c r="L8" i="22"/>
  <c r="K8" i="22"/>
  <c r="J8" i="22"/>
  <c r="I8" i="22"/>
  <c r="Q7" i="22"/>
  <c r="N7" i="22"/>
  <c r="M7" i="22"/>
  <c r="L7" i="22"/>
  <c r="K7" i="22"/>
  <c r="J7" i="22"/>
  <c r="I7" i="22"/>
  <c r="Q6" i="22"/>
  <c r="N6" i="22"/>
  <c r="M6" i="22"/>
  <c r="L6" i="22"/>
  <c r="K6" i="22"/>
  <c r="J6" i="22"/>
  <c r="I6" i="22"/>
  <c r="I5" i="22"/>
  <c r="P46" i="2"/>
  <c r="N46" i="2"/>
  <c r="M46" i="2"/>
  <c r="L46" i="2"/>
  <c r="K46" i="2"/>
  <c r="J46" i="2"/>
  <c r="P45" i="2"/>
  <c r="N45" i="2"/>
  <c r="M45" i="2"/>
  <c r="L45" i="2"/>
  <c r="K45" i="2"/>
  <c r="J45" i="2"/>
  <c r="P44" i="2"/>
  <c r="N44" i="2"/>
  <c r="M44" i="2"/>
  <c r="L44" i="2"/>
  <c r="K44" i="2"/>
  <c r="J44" i="2"/>
  <c r="P43" i="2"/>
  <c r="N43" i="2"/>
  <c r="M43" i="2"/>
  <c r="L43" i="2"/>
  <c r="K43" i="2"/>
  <c r="J43" i="2"/>
  <c r="P42" i="2"/>
  <c r="N42" i="2"/>
  <c r="M42" i="2"/>
  <c r="L42" i="2"/>
  <c r="K42" i="2"/>
  <c r="J42" i="2"/>
  <c r="P41" i="2"/>
  <c r="N41" i="2"/>
  <c r="M41" i="2"/>
  <c r="L41" i="2"/>
  <c r="K41" i="2"/>
  <c r="J41" i="2"/>
  <c r="P40" i="2"/>
  <c r="N40" i="2"/>
  <c r="M40" i="2"/>
  <c r="L40" i="2"/>
  <c r="K40" i="2"/>
  <c r="J40" i="2"/>
  <c r="P39" i="2"/>
  <c r="N39" i="2"/>
  <c r="M39" i="2"/>
  <c r="L39" i="2"/>
  <c r="K39" i="2"/>
  <c r="J39" i="2"/>
  <c r="P38" i="2"/>
  <c r="N38" i="2"/>
  <c r="M38" i="2"/>
  <c r="L38" i="2"/>
  <c r="K38" i="2"/>
  <c r="J38" i="2"/>
  <c r="P37" i="2"/>
  <c r="N37" i="2"/>
  <c r="M37" i="2"/>
  <c r="L37" i="2"/>
  <c r="K37" i="2"/>
  <c r="J37" i="2"/>
  <c r="P6" i="2"/>
  <c r="N6" i="2"/>
  <c r="M6" i="2"/>
  <c r="L6" i="2"/>
  <c r="K6" i="2"/>
  <c r="J6" i="2"/>
  <c r="J5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<sst xmlns="http://schemas.openxmlformats.org/spreadsheetml/2006/main" count="4657" uniqueCount="829">
  <si>
    <t>5,0</t>
  </si>
  <si>
    <t>구입회사</t>
  </si>
  <si>
    <t>청소량</t>
  </si>
  <si>
    <t>HZ</t>
  </si>
  <si>
    <t>피더</t>
  </si>
  <si>
    <t>DEC</t>
  </si>
  <si>
    <t>분쇄량</t>
  </si>
  <si>
    <t>PDI</t>
  </si>
  <si>
    <t>전류</t>
  </si>
  <si>
    <t>용량</t>
  </si>
  <si>
    <t>완료시간</t>
  </si>
  <si>
    <t>분쇄단파</t>
  </si>
  <si>
    <t>설비소분류</t>
  </si>
  <si>
    <t>실제수량</t>
  </si>
  <si>
    <t>휴게사유</t>
  </si>
  <si>
    <t>펠렛호기(PELLET)</t>
  </si>
  <si>
    <t>DELIVERY_EMP</t>
  </si>
  <si>
    <t>DELIVERTY_TEL</t>
  </si>
  <si>
    <t>지시량</t>
  </si>
  <si>
    <t>공정명</t>
  </si>
  <si>
    <t>고객사</t>
  </si>
  <si>
    <t>순서</t>
  </si>
  <si>
    <t>종목</t>
  </si>
  <si>
    <t>생산량</t>
  </si>
  <si>
    <t>공사명</t>
  </si>
  <si>
    <t>max</t>
  </si>
  <si>
    <t>목적빈</t>
  </si>
  <si>
    <t>거래처</t>
  </si>
  <si>
    <t>공정관리</t>
  </si>
  <si>
    <t>진행배치</t>
  </si>
  <si>
    <t>입급 월</t>
  </si>
  <si>
    <t>사작시간</t>
  </si>
  <si>
    <t>공사대금 관리</t>
  </si>
  <si>
    <t>고객사핸드폰</t>
  </si>
  <si>
    <t>공정설명</t>
  </si>
  <si>
    <t>고객사코드</t>
  </si>
  <si>
    <t>작업상태</t>
  </si>
  <si>
    <t>종료시간</t>
  </si>
  <si>
    <t>고객사설명</t>
  </si>
  <si>
    <t>고객사팩스</t>
  </si>
  <si>
    <t>고객사명</t>
  </si>
  <si>
    <t>공사관리</t>
  </si>
  <si>
    <t>담당자연락처</t>
  </si>
  <si>
    <t>PROCESS</t>
  </si>
  <si>
    <t>고객사관리</t>
  </si>
  <si>
    <t>공사메모</t>
  </si>
  <si>
    <t>공사코드</t>
  </si>
  <si>
    <t>레시피버전</t>
  </si>
  <si>
    <t>입금타입</t>
  </si>
  <si>
    <t>목적빈2</t>
  </si>
  <si>
    <t>고객사연락처</t>
  </si>
  <si>
    <t>공정위치</t>
  </si>
  <si>
    <t>고객사코드(10자리[0000000001]</t>
  </si>
  <si>
    <t>공정코드(10자리[0000000001])</t>
  </si>
  <si>
    <t>RUN_BATCH</t>
  </si>
  <si>
    <t>PROCESS_DEC</t>
  </si>
  <si>
    <t>PROD_QTY</t>
  </si>
  <si>
    <t>BAD_CODE3</t>
  </si>
  <si>
    <t>BAD_CODE4</t>
  </si>
  <si>
    <t>BAD_QTY3</t>
  </si>
  <si>
    <t>EXPECT_QTY</t>
  </si>
  <si>
    <t>USE_ETC_QTY</t>
  </si>
  <si>
    <t>SAMPLE_CHK</t>
  </si>
  <si>
    <t>DAN_QTY1</t>
  </si>
  <si>
    <t>인터페이스처리일시</t>
  </si>
  <si>
    <t>SCREEN_FRONT</t>
  </si>
  <si>
    <t>)WITH (PAD_INDEX = OFF, STATISTICS_NORECOMPUTE = OFF, IGNORE_DUP_KEY = OFF, ALLOW_ROW_LOCKS = ON, ALLOW_PAGE_LOCKS = ON, FILLFACTOR = 100, OPTIMIZE_FOR_SEQUENTIAL_KEY = OFF) ON [PRIMARY]</t>
  </si>
  <si>
    <t>PROJECT_MANAGEMENT</t>
  </si>
  <si>
    <t>PROCESS_LOCATION</t>
  </si>
  <si>
    <t>공정위치(COMMON_CODE)</t>
  </si>
  <si>
    <t>거래선코드(CUSTOMERS)</t>
  </si>
  <si>
    <t>고객사코드(CUSTOMERS)</t>
  </si>
  <si>
    <t>RESOURCE_NO</t>
  </si>
  <si>
    <t>TOTAL_AMOUNT_RECEIVED</t>
  </si>
  <si>
    <t>방출대기</t>
  </si>
  <si>
    <t>방출안정</t>
  </si>
  <si>
    <t>계량안정</t>
  </si>
  <si>
    <t>빈순서</t>
  </si>
  <si>
    <t>빈명</t>
  </si>
  <si>
    <t>낙차</t>
  </si>
  <si>
    <t>생성</t>
  </si>
  <si>
    <t>빈번호</t>
  </si>
  <si>
    <t>빈종류</t>
  </si>
  <si>
    <t>읽기</t>
  </si>
  <si>
    <t>단위</t>
  </si>
  <si>
    <t>TEL</t>
  </si>
  <si>
    <t>재고</t>
  </si>
  <si>
    <t>이메일</t>
  </si>
  <si>
    <t>PK</t>
  </si>
  <si>
    <t>메뉴명</t>
  </si>
  <si>
    <t>N</t>
  </si>
  <si>
    <t>잔량</t>
  </si>
  <si>
    <t>편차</t>
  </si>
  <si>
    <t>키</t>
  </si>
  <si>
    <t>U</t>
  </si>
  <si>
    <t>SEQ</t>
  </si>
  <si>
    <t>메모</t>
  </si>
  <si>
    <t>잔금</t>
  </si>
  <si>
    <t>빈</t>
  </si>
  <si>
    <t>수정자</t>
  </si>
  <si>
    <t>스케일</t>
  </si>
  <si>
    <t>자릿수</t>
  </si>
  <si>
    <t>계약일</t>
  </si>
  <si>
    <t>C</t>
  </si>
  <si>
    <t>대표자</t>
  </si>
  <si>
    <t>업태</t>
  </si>
  <si>
    <t>원료명</t>
  </si>
  <si>
    <t>연락처</t>
  </si>
  <si>
    <t>수정</t>
  </si>
  <si>
    <t>MAX</t>
  </si>
  <si>
    <t>R</t>
  </si>
  <si>
    <t>입력자</t>
  </si>
  <si>
    <t>설명</t>
  </si>
  <si>
    <t>,</t>
  </si>
  <si>
    <t>사원명</t>
  </si>
  <si>
    <t>담당자</t>
  </si>
  <si>
    <t>한글</t>
  </si>
  <si>
    <t>BIN</t>
  </si>
  <si>
    <t>계약금</t>
  </si>
  <si>
    <t>영문</t>
  </si>
  <si>
    <t>주소</t>
  </si>
  <si>
    <t>사용자</t>
  </si>
  <si>
    <t>Y</t>
  </si>
  <si>
    <t>P</t>
  </si>
  <si>
    <t>D</t>
  </si>
  <si>
    <t>프린트</t>
  </si>
  <si>
    <t>삭제</t>
  </si>
  <si>
    <t>배치번호</t>
  </si>
  <si>
    <t>SMALL_INPUT_TIME</t>
  </si>
  <si>
    <t>AMOUNT_REMAINING</t>
  </si>
  <si>
    <t>MEDIUM_INPUT_OFF</t>
  </si>
  <si>
    <t>MEASURING_STABLE</t>
  </si>
  <si>
    <t>빈종류(COMMON_CODE)</t>
  </si>
  <si>
    <t>SMALL_INPUT_SPEED</t>
  </si>
  <si>
    <t>TAXINVOICE_CHECK</t>
  </si>
  <si>
    <t>MEDIUM_INPUT_SPEED</t>
  </si>
  <si>
    <t>LARGE_INPUT_SPEED</t>
  </si>
  <si>
    <t>MEDIUM_INPUT_TIME</t>
  </si>
  <si>
    <t>MENU_LEVEL</t>
  </si>
  <si>
    <t>원료(자재)타입</t>
  </si>
  <si>
    <t>소투입(OFF)</t>
  </si>
  <si>
    <t>PASSWORD</t>
  </si>
  <si>
    <t>중투입(OFF)</t>
  </si>
  <si>
    <t>원료(자재)ID</t>
  </si>
  <si>
    <t>RECIPE_VER</t>
  </si>
  <si>
    <t>NAMESPACE</t>
  </si>
  <si>
    <t>COR_REG_NUM</t>
  </si>
  <si>
    <t>CLASSNAME</t>
  </si>
  <si>
    <t>INDUSTRY</t>
  </si>
  <si>
    <t>MATERIAL_ID</t>
  </si>
  <si>
    <t>PROJECTS</t>
  </si>
  <si>
    <t>PARENT_MENU</t>
  </si>
  <si>
    <t>CUSTOMERS</t>
  </si>
  <si>
    <t>MANAGER_TEL</t>
  </si>
  <si>
    <t>BUSINESS</t>
  </si>
  <si>
    <t>PROJECT_DEC</t>
  </si>
  <si>
    <t>MENU_NAME</t>
  </si>
  <si>
    <t>스케일비율(KG)</t>
  </si>
  <si>
    <t>SCALE_NAME</t>
  </si>
  <si>
    <t>MENU_AUTH</t>
  </si>
  <si>
    <t>AUTH_TYPE</t>
  </si>
  <si>
    <t>EMPLOYEE_NO</t>
  </si>
  <si>
    <t>JUMIN_FIRST</t>
  </si>
  <si>
    <t>JUMIN_LAST</t>
  </si>
  <si>
    <t>SCALE_MAX</t>
  </si>
  <si>
    <t>HIGH_CAPA</t>
  </si>
  <si>
    <t>MEASURING</t>
  </si>
  <si>
    <t>JOG_ON_TIME</t>
  </si>
  <si>
    <t>BIN_NAME</t>
  </si>
  <si>
    <t>컬럼설명(부모테이블)</t>
  </si>
  <si>
    <t>스케일최대(Hz)</t>
  </si>
  <si>
    <t>BIN_TYPE</t>
  </si>
  <si>
    <t>SCALE_RATIO</t>
  </si>
  <si>
    <t>BIN_CODE</t>
  </si>
  <si>
    <t>MENU_INFO</t>
  </si>
  <si>
    <t>HEAD_DROP</t>
  </si>
  <si>
    <t>CONTRACT_DATE</t>
  </si>
  <si>
    <t>컬럼설명(부모 테이블)</t>
  </si>
  <si>
    <t>CUSTOMER_NAME</t>
  </si>
  <si>
    <t>DEPOSIT_TYPE</t>
  </si>
  <si>
    <t>DEPOSIT_RATIO</t>
  </si>
  <si>
    <t>PROJECT_NAME</t>
  </si>
  <si>
    <t>DEPOSIT_MONTH</t>
  </si>
  <si>
    <t>MEDIUM_INPUT_ON</t>
  </si>
  <si>
    <t>원료코드(MATERIAL)</t>
  </si>
  <si>
    <t>AMOUNT_RECEIVED</t>
  </si>
  <si>
    <t>CORPORATE_NUM</t>
  </si>
  <si>
    <t>MEASURING_WAIT</t>
  </si>
  <si>
    <t>입력자(EMPLOYEE)</t>
  </si>
  <si>
    <t>MATERIALCODE</t>
  </si>
  <si>
    <t>RELEASE_STABLE</t>
  </si>
  <si>
    <t>스케일코드(SCALE)</t>
  </si>
  <si>
    <t>RELEASE_WAIT</t>
  </si>
  <si>
    <t>) ON [PRIMARY]</t>
  </si>
  <si>
    <t>SMALL_INPUT_OFF</t>
  </si>
  <si>
    <t>SMALL_INPUT_ON</t>
  </si>
  <si>
    <t>DROP_SAFE_TIME</t>
  </si>
  <si>
    <t>수정자(EMPLOYEE)</t>
  </si>
  <si>
    <t>IDENTITY (1, 1)</t>
  </si>
  <si>
    <t>PROJECT_CODE</t>
  </si>
  <si>
    <t>EMPLOYEE_NAME</t>
  </si>
  <si>
    <t>권한타입</t>
  </si>
  <si>
    <t>메뉴관리</t>
  </si>
  <si>
    <t>LOW 용량</t>
  </si>
  <si>
    <t>SCALE</t>
  </si>
  <si>
    <t>Null 여부</t>
  </si>
  <si>
    <t>사용자메뉴권한</t>
  </si>
  <si>
    <t>메뉴ID</t>
  </si>
  <si>
    <t>중투입시점</t>
  </si>
  <si>
    <t>비밀번호</t>
  </si>
  <si>
    <t>사용여부</t>
  </si>
  <si>
    <t>낙차안정시간</t>
  </si>
  <si>
    <t>소투입시점</t>
  </si>
  <si>
    <t>소투입(ON)</t>
  </si>
  <si>
    <t>사용자 정보</t>
  </si>
  <si>
    <t>컬명명한글</t>
  </si>
  <si>
    <t>최대 용량</t>
  </si>
  <si>
    <t>USEFLAG</t>
  </si>
  <si>
    <t>부모 메뉴ID</t>
  </si>
  <si>
    <t>USEYN</t>
  </si>
  <si>
    <t>스케일코드</t>
  </si>
  <si>
    <t>HIGH 용량</t>
  </si>
  <si>
    <t>원재료관리</t>
  </si>
  <si>
    <t>최대용량</t>
  </si>
  <si>
    <t>사원번호</t>
  </si>
  <si>
    <t>키(자동증가)</t>
  </si>
  <si>
    <t>EMAIL</t>
  </si>
  <si>
    <t>수입금액</t>
  </si>
  <si>
    <t>DATE</t>
  </si>
  <si>
    <t>프로젝트코드</t>
  </si>
  <si>
    <t>MANAGER</t>
  </si>
  <si>
    <t>사업자번호</t>
  </si>
  <si>
    <t>REAL</t>
  </si>
  <si>
    <t>세계발행일</t>
  </si>
  <si>
    <t>LO_CAPA</t>
  </si>
  <si>
    <t>조깅시간</t>
  </si>
  <si>
    <t>MENU_ID</t>
  </si>
  <si>
    <t>주민번호앞자리</t>
  </si>
  <si>
    <t>대투입속도</t>
  </si>
  <si>
    <t>ZIPCODE</t>
  </si>
  <si>
    <t>우편번호</t>
  </si>
  <si>
    <t>수입총액</t>
  </si>
  <si>
    <t>스케일명</t>
  </si>
  <si>
    <t>메뉴아이디</t>
  </si>
  <si>
    <t>OWNER</t>
  </si>
  <si>
    <t>공정코드</t>
  </si>
  <si>
    <t>입금비율</t>
  </si>
  <si>
    <t>BIGINT</t>
  </si>
  <si>
    <t>AMOUNT</t>
  </si>
  <si>
    <t>CHAR</t>
  </si>
  <si>
    <t>원료(자재)명</t>
  </si>
  <si>
    <t>중투입(ON)</t>
  </si>
  <si>
    <t>컬럼명영문</t>
  </si>
  <si>
    <t>계량대기</t>
  </si>
  <si>
    <t>입력일시</t>
  </si>
  <si>
    <t>원료코드</t>
  </si>
  <si>
    <t>"&amp;C2&amp;"</t>
  </si>
  <si>
    <t>테이블명</t>
  </si>
  <si>
    <t>STOCK</t>
  </si>
  <si>
    <t>수정일시</t>
  </si>
  <si>
    <t>BIN_SEQ</t>
  </si>
  <si>
    <t>ADDRESS</t>
  </si>
  <si>
    <t>6, 0</t>
  </si>
  <si>
    <t>주민번호뒷자리</t>
  </si>
  <si>
    <t>중투입속도</t>
  </si>
  <si>
    <t>데이터타입</t>
  </si>
  <si>
    <t>소투입속도</t>
  </si>
  <si>
    <t>SCALE_CODE</t>
  </si>
  <si>
    <t>MAX_CAPA</t>
  </si>
  <si>
    <t>처리내역</t>
  </si>
  <si>
    <t>FIRST_QTY</t>
  </si>
  <si>
    <t>DAN_QTY2</t>
  </si>
  <si>
    <t>COMMON_CODE</t>
  </si>
  <si>
    <t>DAN_QTY3</t>
  </si>
  <si>
    <t>포장호기(PACK)</t>
  </si>
  <si>
    <t>이동상태</t>
  </si>
  <si>
    <t>PACK</t>
  </si>
  <si>
    <t>분쇄작업지시</t>
  </si>
  <si>
    <t>BATCH_NUM</t>
  </si>
  <si>
    <t>TYCONES_NO</t>
  </si>
  <si>
    <t>FEEDER_RATE</t>
  </si>
  <si>
    <t>OVERLOAD</t>
  </si>
  <si>
    <t>DUST_WAVE1</t>
  </si>
  <si>
    <t>DUST_WAVE2</t>
  </si>
  <si>
    <t>EQUIPMENT</t>
  </si>
  <si>
    <t>MIX_MATERIAL_ID</t>
  </si>
  <si>
    <t>공사코드(자동증가 +1)</t>
  </si>
  <si>
    <t>종목(COMMON_CODE)</t>
  </si>
  <si>
    <t>MATERIAL_CODE</t>
  </si>
  <si>
    <t>PROCESS_NAME</t>
  </si>
  <si>
    <t>업태(COMMON_CODE)</t>
  </si>
  <si>
    <t>PROCESS_CODE</t>
  </si>
  <si>
    <t>IDENTITY (1,1)</t>
  </si>
  <si>
    <t>고객사(CUSTOMERS)</t>
  </si>
  <si>
    <t>공정코드(PROCESS)</t>
  </si>
  <si>
    <t>불량수량5</t>
  </si>
  <si>
    <t>설비위치</t>
  </si>
  <si>
    <t>불량수량3</t>
  </si>
  <si>
    <t>불량항목4</t>
  </si>
  <si>
    <t>법인(주민)번호</t>
  </si>
  <si>
    <t>END_TIME</t>
  </si>
  <si>
    <t>ORDER_QTY</t>
  </si>
  <si>
    <t>WORK_STATE</t>
  </si>
  <si>
    <t>WORK_ORDER</t>
  </si>
  <si>
    <t>START_TIME</t>
  </si>
  <si>
    <t>수입금액[받은금액]</t>
  </si>
  <si>
    <t>BATCH_QTY</t>
  </si>
  <si>
    <t>HP</t>
  </si>
  <si>
    <t>단량2</t>
  </si>
  <si>
    <t>등급</t>
  </si>
  <si>
    <t>단량3</t>
  </si>
  <si>
    <t>FAX</t>
  </si>
  <si>
    <t>WORK_DATE</t>
  </si>
  <si>
    <t>WORK_NUM</t>
  </si>
  <si>
    <t>PELLET</t>
  </si>
  <si>
    <t>WORKER</t>
  </si>
  <si>
    <t>작업지시순서</t>
  </si>
  <si>
    <t>작업지시일</t>
  </si>
  <si>
    <t>보관위치</t>
  </si>
  <si>
    <t>SMASH</t>
  </si>
  <si>
    <t>LOCATION_DEC</t>
  </si>
  <si>
    <t>FROM_MATERIAL</t>
  </si>
  <si>
    <t>IDENTITY(1,1)</t>
  </si>
  <si>
    <t>MIX_QTY</t>
  </si>
  <si>
    <t>부하</t>
  </si>
  <si>
    <t>CRUSH_WAVE</t>
  </si>
  <si>
    <t>펠렛호기</t>
  </si>
  <si>
    <t>수출여부</t>
  </si>
  <si>
    <t>제품코드</t>
  </si>
  <si>
    <t>가동시작시간</t>
  </si>
  <si>
    <t>불량수량1</t>
  </si>
  <si>
    <t>설정값</t>
  </si>
  <si>
    <t>차량정보</t>
  </si>
  <si>
    <t>설비코드</t>
  </si>
  <si>
    <t>시작시간</t>
  </si>
  <si>
    <t>다이틀간격</t>
  </si>
  <si>
    <t>포장</t>
  </si>
  <si>
    <t>설비</t>
  </si>
  <si>
    <t>쿨러온도</t>
  </si>
  <si>
    <t>포장호기</t>
  </si>
  <si>
    <t>CRUSH_QTY</t>
  </si>
  <si>
    <t>HARDNESS</t>
  </si>
  <si>
    <t>CLEAN_QTY</t>
  </si>
  <si>
    <t>BAD_QTY5</t>
  </si>
  <si>
    <t>BAD_CODE5</t>
  </si>
  <si>
    <t>BAD_QTY4</t>
  </si>
  <si>
    <t>생산성</t>
  </si>
  <si>
    <t>교대조</t>
  </si>
  <si>
    <t>타이콘호기(TYCONES)</t>
  </si>
  <si>
    <t>ETC_QTY</t>
  </si>
  <si>
    <t>END_QTY</t>
  </si>
  <si>
    <t>스크린_후면</t>
  </si>
  <si>
    <t>8, 1</t>
  </si>
  <si>
    <t>15, 3</t>
  </si>
  <si>
    <t>투입빈</t>
  </si>
  <si>
    <t>인출빈</t>
  </si>
  <si>
    <t>작업지시</t>
  </si>
  <si>
    <t>설비이상</t>
  </si>
  <si>
    <t>부원료코드</t>
  </si>
  <si>
    <t>휴게시간(분)</t>
  </si>
  <si>
    <t>8, 0</t>
  </si>
  <si>
    <t>기사 전화번호</t>
  </si>
  <si>
    <t>작업지시상세</t>
  </si>
  <si>
    <t>차량번호</t>
  </si>
  <si>
    <t>배송기사</t>
  </si>
  <si>
    <t>크럼블사용여부</t>
  </si>
  <si>
    <t>PRO_KG</t>
  </si>
  <si>
    <t>집진단파2</t>
  </si>
  <si>
    <t>공통코드</t>
  </si>
  <si>
    <t>고유번호</t>
  </si>
  <si>
    <t>집진단파</t>
  </si>
  <si>
    <t>가동종료시간</t>
  </si>
  <si>
    <t>스크린_전면</t>
  </si>
  <si>
    <t>예상수량</t>
  </si>
  <si>
    <t>설비명</t>
  </si>
  <si>
    <t>분쇄</t>
  </si>
  <si>
    <t>배합비</t>
  </si>
  <si>
    <t>REST_MINUTES</t>
  </si>
  <si>
    <t>설비코드(EQUIPMENT)</t>
  </si>
  <si>
    <t>INTERFACE_GUBUN</t>
  </si>
  <si>
    <t>DY_SP</t>
  </si>
  <si>
    <t>불량항목1</t>
  </si>
  <si>
    <t>타이콘</t>
  </si>
  <si>
    <t>5,1</t>
  </si>
  <si>
    <t>단량1</t>
  </si>
  <si>
    <t>CRUMBLE_YN</t>
  </si>
  <si>
    <t>From 보관위치</t>
  </si>
  <si>
    <t>펠렛</t>
  </si>
  <si>
    <t>8,1</t>
  </si>
  <si>
    <t>8,0</t>
  </si>
  <si>
    <t>짜투리</t>
  </si>
  <si>
    <t>제품빈</t>
  </si>
  <si>
    <t>입력구분</t>
  </si>
  <si>
    <t>EXPORT_FLAG</t>
  </si>
  <si>
    <t>배합량</t>
  </si>
  <si>
    <t>ICM_CODE</t>
  </si>
  <si>
    <t>COL_TEMP</t>
  </si>
  <si>
    <t>PROD_TEMP</t>
  </si>
  <si>
    <t>차이</t>
  </si>
  <si>
    <t>SCREEN_BACK</t>
  </si>
  <si>
    <t>INTERFACE_STATE</t>
  </si>
  <si>
    <t>INTERFACE_DT</t>
  </si>
  <si>
    <t>불량항목2</t>
  </si>
  <si>
    <t>CD_TEMP</t>
  </si>
  <si>
    <t>첫물</t>
  </si>
  <si>
    <t>끝물</t>
  </si>
  <si>
    <t>STOCK_CHANGE</t>
  </si>
  <si>
    <t>OUT_BIN_CODE</t>
  </si>
  <si>
    <t>휴게시간</t>
  </si>
  <si>
    <t>설비오류내역</t>
  </si>
  <si>
    <t>자재이동</t>
  </si>
  <si>
    <t>TYCONES</t>
  </si>
  <si>
    <t>ERR_MSG</t>
  </si>
  <si>
    <t>EQUIP_TRB</t>
  </si>
  <si>
    <t>인터페이스처리여부</t>
  </si>
  <si>
    <t>From 전환수량</t>
  </si>
  <si>
    <t>From 품목코드</t>
  </si>
  <si>
    <t>계획수량</t>
  </si>
  <si>
    <t>이동할자재위치</t>
  </si>
  <si>
    <t>PROVITY</t>
  </si>
  <si>
    <t>ASS_QTY</t>
  </si>
  <si>
    <t>강압전류</t>
  </si>
  <si>
    <t>INV</t>
  </si>
  <si>
    <t>STOCK_LOG</t>
  </si>
  <si>
    <t>WORK_DETAIL</t>
  </si>
  <si>
    <t>DY_THICK</t>
  </si>
  <si>
    <t>작업지시일(6자리)</t>
  </si>
  <si>
    <t>LOCATION</t>
  </si>
  <si>
    <t>작업자</t>
  </si>
  <si>
    <t>차량</t>
  </si>
  <si>
    <t>규격</t>
  </si>
  <si>
    <t>비고</t>
  </si>
  <si>
    <t>불량수량2</t>
  </si>
  <si>
    <t>불량항목3</t>
  </si>
  <si>
    <t>LOTNO</t>
  </si>
  <si>
    <t>인터페이스상태</t>
  </si>
  <si>
    <t>보전회사</t>
  </si>
  <si>
    <t>휴게코드</t>
  </si>
  <si>
    <t>MOVING_STATE</t>
  </si>
  <si>
    <t>EQUIP_TROUBLE</t>
  </si>
  <si>
    <t>프로젝트(공사)</t>
  </si>
  <si>
    <t>구입일</t>
  </si>
  <si>
    <t>모델</t>
  </si>
  <si>
    <t>제작처</t>
  </si>
  <si>
    <t>인터페이스일시</t>
  </si>
  <si>
    <t>To 품목코드</t>
  </si>
  <si>
    <t>이슈내역</t>
  </si>
  <si>
    <t>사용 짜투리</t>
  </si>
  <si>
    <t>OUT_QTY</t>
  </si>
  <si>
    <t>불량수량4</t>
  </si>
  <si>
    <t>DIFF</t>
  </si>
  <si>
    <t>현재자재위치</t>
  </si>
  <si>
    <t>PACK_NO</t>
  </si>
  <si>
    <t>불량항목5</t>
  </si>
  <si>
    <t>총가동</t>
  </si>
  <si>
    <t>작업일자</t>
  </si>
  <si>
    <t>REMARK</t>
  </si>
  <si>
    <t>EQUIP_CODE</t>
  </si>
  <si>
    <t>BAD_CODE1</t>
  </si>
  <si>
    <t>BAD_CODE2</t>
  </si>
  <si>
    <t>BAD_QTY1</t>
  </si>
  <si>
    <t>BAD_QTY2</t>
  </si>
  <si>
    <t>EQUIP_NAME</t>
  </si>
  <si>
    <t>REMAIN_QTY</t>
  </si>
  <si>
    <t>TOTAL_OPER</t>
  </si>
  <si>
    <t>현재고 수량</t>
  </si>
  <si>
    <t>품목코드</t>
  </si>
  <si>
    <t>재고기록표</t>
  </si>
  <si>
    <t>가용 수량</t>
  </si>
  <si>
    <t>할당된 수량</t>
  </si>
  <si>
    <t>저장위치</t>
  </si>
  <si>
    <t>저장위치명</t>
  </si>
  <si>
    <t>다이규격</t>
  </si>
  <si>
    <t>MATERIAL_MOVING</t>
  </si>
  <si>
    <t>생산수량</t>
  </si>
  <si>
    <t>샘플검수</t>
  </si>
  <si>
    <t>공정</t>
  </si>
  <si>
    <t>잔량처리</t>
  </si>
  <si>
    <t>다이간격</t>
  </si>
  <si>
    <t>재고대체</t>
  </si>
  <si>
    <t>원화금액</t>
  </si>
  <si>
    <t>18,0</t>
  </si>
  <si>
    <t>원료(자재)ID(MATERIAL)</t>
  </si>
  <si>
    <t>경도</t>
  </si>
  <si>
    <t>PELLET_NO</t>
  </si>
  <si>
    <t>IN_BIN_CODE</t>
  </si>
  <si>
    <t>REST_TIME</t>
  </si>
  <si>
    <t>MOVING_QTY</t>
  </si>
  <si>
    <t>메뉴</t>
  </si>
  <si>
    <t>자재</t>
  </si>
  <si>
    <t>AVA_QTY</t>
  </si>
  <si>
    <t>FEEDER</t>
  </si>
  <si>
    <t>컨디셔너온도</t>
  </si>
  <si>
    <t>제품온도</t>
  </si>
  <si>
    <t>메뉴권한</t>
  </si>
  <si>
    <t>유틸리티</t>
  </si>
  <si>
    <t>DY_ST</t>
  </si>
  <si>
    <t>AMPER</t>
  </si>
  <si>
    <t>PRE_QTY</t>
  </si>
  <si>
    <t>24,8</t>
  </si>
  <si>
    <t>로트통제번호</t>
  </si>
  <si>
    <t>에러내용</t>
  </si>
  <si>
    <t>이동수량</t>
  </si>
  <si>
    <t>인터페이스처리구분</t>
  </si>
  <si>
    <t>인터페이스처리에러</t>
  </si>
  <si>
    <t>EQUIP_TASK</t>
  </si>
  <si>
    <t>보전주기</t>
  </si>
  <si>
    <t>공정코드(10자리[0000000001])(PROCESS)</t>
  </si>
  <si>
    <t>불용사유</t>
  </si>
  <si>
    <t>설비구분</t>
  </si>
  <si>
    <t>재고변경</t>
  </si>
  <si>
    <t>불용처리일</t>
  </si>
  <si>
    <t>배합비상세</t>
  </si>
  <si>
    <t>자산상태</t>
  </si>
  <si>
    <t>등급결정일</t>
  </si>
  <si>
    <t>PROTY_QTY</t>
  </si>
  <si>
    <t>레시비버전(MIXING_RATIO)</t>
  </si>
  <si>
    <t>INTERFACE_ERR</t>
  </si>
  <si>
    <t>순번</t>
  </si>
  <si>
    <t>FROM_QTY</t>
  </si>
  <si>
    <t>REST_CODE</t>
  </si>
  <si>
    <t>순서(자동증가)</t>
  </si>
  <si>
    <t>IN_GUBUN</t>
  </si>
  <si>
    <t>TO_MATERIAL</t>
  </si>
  <si>
    <t>FROM_LOCATION</t>
  </si>
  <si>
    <t>시리얼번호</t>
  </si>
  <si>
    <t>사이트(공장)</t>
    <phoneticPr fontId="7" type="noConversion"/>
  </si>
  <si>
    <t>PLANT</t>
    <phoneticPr fontId="7" type="noConversion"/>
  </si>
  <si>
    <t>PLANT_CODE</t>
  </si>
  <si>
    <t>PLANT_NAME</t>
  </si>
  <si>
    <t>SITE_CODE</t>
    <phoneticPr fontId="7" type="noConversion"/>
  </si>
  <si>
    <t>SITE_NAME</t>
    <phoneticPr fontId="7" type="noConversion"/>
  </si>
  <si>
    <t>PLANT_TYPE</t>
  </si>
  <si>
    <t>주소</t>
    <phoneticPr fontId="7" type="noConversion"/>
  </si>
  <si>
    <t>사용여부</t>
    <phoneticPr fontId="7" type="noConversion"/>
  </si>
  <si>
    <t>TEL_NO</t>
    <phoneticPr fontId="7" type="noConversion"/>
  </si>
  <si>
    <t>SORT_SEQ</t>
    <phoneticPr fontId="7" type="noConversion"/>
  </si>
  <si>
    <t>플랜트</t>
    <phoneticPr fontId="7" type="noConversion"/>
  </si>
  <si>
    <t>공장코드</t>
    <phoneticPr fontId="7" type="noConversion"/>
  </si>
  <si>
    <t>공장명</t>
    <phoneticPr fontId="7" type="noConversion"/>
  </si>
  <si>
    <t>사이트코드</t>
    <phoneticPr fontId="7" type="noConversion"/>
  </si>
  <si>
    <t>사이트명</t>
    <phoneticPr fontId="7" type="noConversion"/>
  </si>
  <si>
    <t>공장유형</t>
    <phoneticPr fontId="7" type="noConversion"/>
  </si>
  <si>
    <t>전화번호</t>
    <phoneticPr fontId="7" type="noConversion"/>
  </si>
  <si>
    <t>정렬순서</t>
    <phoneticPr fontId="7" type="noConversion"/>
  </si>
  <si>
    <t>NUMBER</t>
  </si>
  <si>
    <t>NUMBER</t>
    <phoneticPr fontId="7" type="noConversion"/>
  </si>
  <si>
    <t>저장소</t>
    <phoneticPr fontId="7" type="noConversion"/>
  </si>
  <si>
    <t>LOCATION</t>
    <phoneticPr fontId="7" type="noConversion"/>
  </si>
  <si>
    <t>LOCATION_CODE</t>
  </si>
  <si>
    <t>LOCATION_NAME</t>
  </si>
  <si>
    <t>PARENT_CODE</t>
    <phoneticPr fontId="7" type="noConversion"/>
  </si>
  <si>
    <t>PARENT_NAME</t>
    <phoneticPr fontId="7" type="noConversion"/>
  </si>
  <si>
    <t>LOCATION_TYPE</t>
    <phoneticPr fontId="7" type="noConversion"/>
  </si>
  <si>
    <t>SPEC_TYPE</t>
    <phoneticPr fontId="7" type="noConversion"/>
  </si>
  <si>
    <t>USE_FLAG</t>
  </si>
  <si>
    <t>플랜트코드</t>
    <phoneticPr fontId="7" type="noConversion"/>
  </si>
  <si>
    <t>저장소코드</t>
    <phoneticPr fontId="7" type="noConversion"/>
  </si>
  <si>
    <t>저장소명</t>
    <phoneticPr fontId="7" type="noConversion"/>
  </si>
  <si>
    <t>저장소위치코드</t>
    <phoneticPr fontId="7" type="noConversion"/>
  </si>
  <si>
    <t>저장소위치명</t>
    <phoneticPr fontId="7" type="noConversion"/>
  </si>
  <si>
    <t>저장소타입</t>
    <phoneticPr fontId="7" type="noConversion"/>
  </si>
  <si>
    <t>저장위치구분</t>
    <phoneticPr fontId="7" type="noConversion"/>
  </si>
  <si>
    <t>CHAR</t>
    <phoneticPr fontId="7" type="noConversion"/>
  </si>
  <si>
    <t>N</t>
    <phoneticPr fontId="7" type="noConversion"/>
  </si>
  <si>
    <t>Y</t>
    <phoneticPr fontId="7" type="noConversion"/>
  </si>
  <si>
    <t>재고마감</t>
    <phoneticPr fontId="7" type="noConversion"/>
  </si>
  <si>
    <t>CLOSE_YYYYMM</t>
  </si>
  <si>
    <t>CLOSE_QTY</t>
  </si>
  <si>
    <t>DEFAULT</t>
    <phoneticPr fontId="7" type="noConversion"/>
  </si>
  <si>
    <t>SYSDATE</t>
    <phoneticPr fontId="7" type="noConversion"/>
  </si>
  <si>
    <t>STOCK_CLOSING</t>
    <phoneticPr fontId="7" type="noConversion"/>
  </si>
  <si>
    <t>재고 조정량</t>
    <phoneticPr fontId="7" type="noConversion"/>
  </si>
  <si>
    <t>재고조정량</t>
    <phoneticPr fontId="7" type="noConversion"/>
  </si>
  <si>
    <t>STOCK_ADJUST</t>
    <phoneticPr fontId="7" type="noConversion"/>
  </si>
  <si>
    <t>재고연월</t>
    <phoneticPr fontId="7" type="noConversion"/>
  </si>
  <si>
    <t>소팅순서</t>
    <phoneticPr fontId="7" type="noConversion"/>
  </si>
  <si>
    <t>ADJUST_DATE</t>
    <phoneticPr fontId="7" type="noConversion"/>
  </si>
  <si>
    <t>ADJUST_QTY</t>
    <phoneticPr fontId="7" type="noConversion"/>
  </si>
  <si>
    <t>LOSS_QTY</t>
    <phoneticPr fontId="7" type="noConversion"/>
  </si>
  <si>
    <t>RETURN_QTY</t>
    <phoneticPr fontId="7" type="noConversion"/>
  </si>
  <si>
    <t>제품명</t>
    <phoneticPr fontId="7" type="noConversion"/>
  </si>
  <si>
    <t>제품코드</t>
    <phoneticPr fontId="7" type="noConversion"/>
  </si>
  <si>
    <t>조정일</t>
    <phoneticPr fontId="7" type="noConversion"/>
  </si>
  <si>
    <t>조정량</t>
    <phoneticPr fontId="7" type="noConversion"/>
  </si>
  <si>
    <t>부산물량</t>
    <phoneticPr fontId="7" type="noConversion"/>
  </si>
  <si>
    <t>반품중량</t>
    <phoneticPr fontId="7" type="noConversion"/>
  </si>
  <si>
    <t>DATE</t>
    <phoneticPr fontId="7" type="noConversion"/>
  </si>
  <si>
    <t>마감연월</t>
    <phoneticPr fontId="7" type="noConversion"/>
  </si>
  <si>
    <t>마감수량</t>
    <phoneticPr fontId="7" type="noConversion"/>
  </si>
  <si>
    <t>공정순서</t>
    <phoneticPr fontId="7" type="noConversion"/>
  </si>
  <si>
    <t>공정</t>
    <phoneticPr fontId="7" type="noConversion"/>
  </si>
  <si>
    <t>PROCESS_SEQ</t>
    <phoneticPr fontId="7" type="noConversion"/>
  </si>
  <si>
    <t>PROCESS_CODE</t>
    <phoneticPr fontId="7" type="noConversion"/>
  </si>
  <si>
    <t>라우팅</t>
    <phoneticPr fontId="7" type="noConversion"/>
  </si>
  <si>
    <t>ROUTING</t>
    <phoneticPr fontId="7" type="noConversion"/>
  </si>
  <si>
    <t>VERSION</t>
    <phoneticPr fontId="7" type="noConversion"/>
  </si>
  <si>
    <t>LABEL_TYPE</t>
  </si>
  <si>
    <t>LABEL_GROUP</t>
  </si>
  <si>
    <t>LABEL_NAME</t>
    <phoneticPr fontId="7" type="noConversion"/>
  </si>
  <si>
    <t>LABEL_VALUE</t>
    <phoneticPr fontId="7" type="noConversion"/>
  </si>
  <si>
    <t>버전</t>
    <phoneticPr fontId="7" type="noConversion"/>
  </si>
  <si>
    <t>라벨타입</t>
    <phoneticPr fontId="7" type="noConversion"/>
  </si>
  <si>
    <t>N:성분 / O:원료 / M:주의사항</t>
    <phoneticPr fontId="7" type="noConversion"/>
  </si>
  <si>
    <t>등록성분량 / 사용원료의명칭 / 주의사항</t>
  </si>
  <si>
    <t>라벨그룹</t>
    <phoneticPr fontId="7" type="noConversion"/>
  </si>
  <si>
    <t>순번</t>
    <phoneticPr fontId="7" type="noConversion"/>
  </si>
  <si>
    <t>라벨명</t>
    <phoneticPr fontId="7" type="noConversion"/>
  </si>
  <si>
    <t>라벨내용</t>
    <phoneticPr fontId="7" type="noConversion"/>
  </si>
  <si>
    <t>'Y'</t>
    <phoneticPr fontId="7" type="noConversion"/>
  </si>
  <si>
    <t>차량코드</t>
    <phoneticPr fontId="7" type="noConversion"/>
  </si>
  <si>
    <t>차량톤급코드</t>
    <phoneticPr fontId="7" type="noConversion"/>
  </si>
  <si>
    <t>차량그룹</t>
    <phoneticPr fontId="7" type="noConversion"/>
  </si>
  <si>
    <t>ISREQUIRESEAL</t>
  </si>
  <si>
    <t>봉인여부</t>
    <phoneticPr fontId="7" type="noConversion"/>
  </si>
  <si>
    <t>리스트로 이동</t>
    <phoneticPr fontId="7" type="noConversion"/>
  </si>
  <si>
    <t>FEED_LABEL</t>
    <phoneticPr fontId="7" type="noConversion"/>
  </si>
  <si>
    <t>성분표</t>
    <phoneticPr fontId="7" type="noConversion"/>
  </si>
  <si>
    <t>NVARCHAR2</t>
  </si>
  <si>
    <t>NVARCHAR2</t>
    <phoneticPr fontId="7" type="noConversion"/>
  </si>
  <si>
    <t>CAR_MASTER</t>
    <phoneticPr fontId="7" type="noConversion"/>
  </si>
  <si>
    <t>원료</t>
    <phoneticPr fontId="7" type="noConversion"/>
  </si>
  <si>
    <t>MATERIALS</t>
    <phoneticPr fontId="7" type="noConversion"/>
  </si>
  <si>
    <t>MATERIAL_CODE</t>
    <phoneticPr fontId="7" type="noConversion"/>
  </si>
  <si>
    <t>자재코드</t>
    <phoneticPr fontId="7" type="noConversion"/>
  </si>
  <si>
    <t>제품군</t>
    <phoneticPr fontId="7" type="noConversion"/>
  </si>
  <si>
    <t>PRODUCT</t>
    <phoneticPr fontId="7" type="noConversion"/>
  </si>
  <si>
    <t>가공형태</t>
    <phoneticPr fontId="7" type="noConversion"/>
  </si>
  <si>
    <t>FEED_FORM</t>
    <phoneticPr fontId="7" type="noConversion"/>
  </si>
  <si>
    <t>UOM</t>
    <phoneticPr fontId="7" type="noConversion"/>
  </si>
  <si>
    <t>배합시간</t>
    <phoneticPr fontId="7" type="noConversion"/>
  </si>
  <si>
    <t>드라이시간</t>
    <phoneticPr fontId="7" type="noConversion"/>
  </si>
  <si>
    <t>파이널시간</t>
    <phoneticPr fontId="7" type="noConversion"/>
  </si>
  <si>
    <t>정선기통과유무</t>
    <phoneticPr fontId="7" type="noConversion"/>
  </si>
  <si>
    <t>메모</t>
    <phoneticPr fontId="7" type="noConversion"/>
  </si>
  <si>
    <t>MIX_TIME</t>
    <phoneticPr fontId="7" type="noConversion"/>
  </si>
  <si>
    <t>DRY_TIME</t>
    <phoneticPr fontId="7" type="noConversion"/>
  </si>
  <si>
    <t>FINAL_TIME</t>
    <phoneticPr fontId="7" type="noConversion"/>
  </si>
  <si>
    <t>SORTER_YN</t>
    <phoneticPr fontId="7" type="noConversion"/>
  </si>
  <si>
    <t>REMARKS</t>
    <phoneticPr fontId="7" type="noConversion"/>
  </si>
  <si>
    <t>원료코드</t>
    <phoneticPr fontId="7" type="noConversion"/>
  </si>
  <si>
    <t>계근방식</t>
    <phoneticPr fontId="7" type="noConversion"/>
  </si>
  <si>
    <t>원료구분</t>
    <phoneticPr fontId="7" type="noConversion"/>
  </si>
  <si>
    <t>WEIGHING_TYPE</t>
    <phoneticPr fontId="7" type="noConversion"/>
  </si>
  <si>
    <t>PROJECTS</t>
    <phoneticPr fontId="7" type="noConversion"/>
  </si>
  <si>
    <t>PROJECT_MANAGEMENT</t>
    <phoneticPr fontId="7" type="noConversion"/>
  </si>
  <si>
    <t>PROCESS</t>
    <phoneticPr fontId="7" type="noConversion"/>
  </si>
  <si>
    <t>SCALE</t>
    <phoneticPr fontId="7" type="noConversion"/>
  </si>
  <si>
    <t>ROUTING</t>
  </si>
  <si>
    <t>FEED_LABEL</t>
  </si>
  <si>
    <t>테이블명</t>
    <phoneticPr fontId="7" type="noConversion"/>
  </si>
  <si>
    <t>TEMPTABLE</t>
    <phoneticPr fontId="7" type="noConversion"/>
  </si>
  <si>
    <t>COMMON_CODE</t>
    <phoneticPr fontId="7" type="noConversion"/>
  </si>
  <si>
    <t>PLANT_CODE</t>
    <phoneticPr fontId="7" type="noConversion"/>
  </si>
  <si>
    <t>라인코드</t>
    <phoneticPr fontId="7" type="noConversion"/>
  </si>
  <si>
    <t>10,3</t>
    <phoneticPr fontId="7" type="noConversion"/>
  </si>
  <si>
    <t>+편차</t>
    <phoneticPr fontId="7" type="noConversion"/>
  </si>
  <si>
    <t>PLUS_DEV</t>
    <phoneticPr fontId="7" type="noConversion"/>
  </si>
  <si>
    <t>-편차</t>
    <phoneticPr fontId="7" type="noConversion"/>
  </si>
  <si>
    <t>MINUS_DEV</t>
    <phoneticPr fontId="7" type="noConversion"/>
  </si>
  <si>
    <t>EMPLOYEES</t>
    <phoneticPr fontId="7" type="noConversion"/>
  </si>
  <si>
    <t>MENU_INFO</t>
    <phoneticPr fontId="7" type="noConversion"/>
  </si>
  <si>
    <t>배합비 마스터</t>
    <phoneticPr fontId="7" type="noConversion"/>
  </si>
  <si>
    <t>제품</t>
    <phoneticPr fontId="7" type="noConversion"/>
  </si>
  <si>
    <t>유효기간시작일</t>
    <phoneticPr fontId="7" type="noConversion"/>
  </si>
  <si>
    <t>유효기간종료일</t>
    <phoneticPr fontId="7" type="noConversion"/>
  </si>
  <si>
    <t>VALID_FROM_DATE</t>
    <phoneticPr fontId="7" type="noConversion"/>
  </si>
  <si>
    <t>VALIE_TO_DATE</t>
    <phoneticPr fontId="7" type="noConversion"/>
  </si>
  <si>
    <t>확정여부</t>
    <phoneticPr fontId="7" type="noConversion"/>
  </si>
  <si>
    <t>CONFIRM_YN</t>
    <phoneticPr fontId="7" type="noConversion"/>
  </si>
  <si>
    <t>배합비상세</t>
    <phoneticPr fontId="7" type="noConversion"/>
  </si>
  <si>
    <t>원료단위</t>
    <phoneticPr fontId="7" type="noConversion"/>
  </si>
  <si>
    <t>비율</t>
    <phoneticPr fontId="7" type="noConversion"/>
  </si>
  <si>
    <t>RATIO</t>
    <phoneticPr fontId="7" type="noConversion"/>
  </si>
  <si>
    <t>6, 3</t>
    <phoneticPr fontId="7" type="noConversion"/>
  </si>
  <si>
    <t>MIXING_RECIPE</t>
    <phoneticPr fontId="7" type="noConversion"/>
  </si>
  <si>
    <t>MIXING_RECIPE_DETAIL</t>
    <phoneticPr fontId="7" type="noConversion"/>
  </si>
  <si>
    <t>LINE_CODE</t>
    <phoneticPr fontId="7" type="noConversion"/>
  </si>
  <si>
    <t>공정라인</t>
    <phoneticPr fontId="7" type="noConversion"/>
  </si>
  <si>
    <t>LINE</t>
    <phoneticPr fontId="7" type="noConversion"/>
  </si>
  <si>
    <t>라인명</t>
    <phoneticPr fontId="7" type="noConversion"/>
  </si>
  <si>
    <t>LINE_NAME</t>
    <phoneticPr fontId="7" type="noConversion"/>
  </si>
  <si>
    <t>대표설비코드</t>
    <phoneticPr fontId="7" type="noConversion"/>
  </si>
  <si>
    <t>EQUIP_CODE</t>
    <phoneticPr fontId="7" type="noConversion"/>
  </si>
  <si>
    <t>공정라인코드</t>
    <phoneticPr fontId="7" type="noConversion"/>
  </si>
  <si>
    <t>RECIPE_VER</t>
    <phoneticPr fontId="7" type="noConversion"/>
  </si>
  <si>
    <t>BATCH_CNT</t>
    <phoneticPr fontId="7" type="noConversion"/>
  </si>
  <si>
    <t>TAGET_BIN</t>
    <phoneticPr fontId="7" type="noConversion"/>
  </si>
  <si>
    <t>TAGET_BIN2</t>
    <phoneticPr fontId="7" type="noConversion"/>
  </si>
  <si>
    <t>배치량</t>
    <phoneticPr fontId="7" type="noConversion"/>
  </si>
  <si>
    <t>배치수</t>
    <phoneticPr fontId="7" type="noConversion"/>
  </si>
  <si>
    <t>재가공여부</t>
    <phoneticPr fontId="7" type="noConversion"/>
  </si>
  <si>
    <t>REPROCESS_YN</t>
    <phoneticPr fontId="7" type="noConversion"/>
  </si>
  <si>
    <t>교대조</t>
    <phoneticPr fontId="7" type="noConversion"/>
  </si>
  <si>
    <t>SHIFT_CODE</t>
    <phoneticPr fontId="7" type="noConversion"/>
  </si>
  <si>
    <t>작업자</t>
    <phoneticPr fontId="7" type="noConversion"/>
  </si>
  <si>
    <t>WORKER</t>
    <phoneticPr fontId="7" type="noConversion"/>
  </si>
  <si>
    <t>전달사항</t>
    <phoneticPr fontId="7" type="noConversion"/>
  </si>
  <si>
    <t>삭제여부</t>
    <phoneticPr fontId="7" type="noConversion"/>
  </si>
  <si>
    <t>DEL_YN</t>
    <phoneticPr fontId="7" type="noConversion"/>
  </si>
  <si>
    <t>13, 3</t>
    <phoneticPr fontId="7" type="noConversion"/>
  </si>
  <si>
    <t>LOCKING</t>
    <phoneticPr fontId="7" type="noConversion"/>
  </si>
  <si>
    <t>배합중</t>
    <phoneticPr fontId="7" type="noConversion"/>
  </si>
  <si>
    <t>빈이 사용중엔 잠금</t>
    <phoneticPr fontId="7" type="noConversion"/>
  </si>
  <si>
    <t>품목관리</t>
    <phoneticPr fontId="7" type="noConversion"/>
  </si>
  <si>
    <t>대체 비율</t>
    <phoneticPr fontId="7" type="noConversion"/>
  </si>
  <si>
    <t>기준원료</t>
    <phoneticPr fontId="7" type="noConversion"/>
  </si>
  <si>
    <t>대체원료</t>
    <phoneticPr fontId="7" type="noConversion"/>
  </si>
  <si>
    <t>SUB_RATIO</t>
    <phoneticPr fontId="7" type="noConversion"/>
  </si>
  <si>
    <t>조정 유형</t>
    <phoneticPr fontId="7" type="noConversion"/>
  </si>
  <si>
    <t>ADJUST_TYPE</t>
    <phoneticPr fontId="7" type="noConversion"/>
  </si>
  <si>
    <t>MATERAL_ADJUST</t>
  </si>
  <si>
    <t>MATERAL_ADJUST</t>
    <phoneticPr fontId="7" type="noConversion"/>
  </si>
  <si>
    <t>원료 대체 조정</t>
    <phoneticPr fontId="7" type="noConversion"/>
  </si>
  <si>
    <t>사유</t>
    <phoneticPr fontId="7" type="noConversion"/>
  </si>
  <si>
    <t>REASON</t>
    <phoneticPr fontId="7" type="noConversion"/>
  </si>
  <si>
    <t>없으면 입력 안함(대체비율만 사용)</t>
    <phoneticPr fontId="7" type="noConversion"/>
  </si>
  <si>
    <t>VENDORS</t>
    <phoneticPr fontId="7" type="noConversion"/>
  </si>
  <si>
    <t>고객사</t>
    <phoneticPr fontId="7" type="noConversion"/>
  </si>
  <si>
    <t>VENDOR_CODE</t>
    <phoneticPr fontId="7" type="noConversion"/>
  </si>
  <si>
    <t>고객사코드</t>
    <phoneticPr fontId="7" type="noConversion"/>
  </si>
  <si>
    <t>고객사명</t>
    <phoneticPr fontId="7" type="noConversion"/>
  </si>
  <si>
    <t>VENDOR_NAME</t>
    <phoneticPr fontId="7" type="noConversion"/>
  </si>
  <si>
    <t>);</t>
    <phoneticPr fontId="7" type="noConversion"/>
  </si>
  <si>
    <t>설정비율</t>
    <phoneticPr fontId="7" type="noConversion"/>
  </si>
  <si>
    <t>MIX_RATIO</t>
    <phoneticPr fontId="7" type="noConversion"/>
  </si>
  <si>
    <t>MIX_MATERIAL</t>
  </si>
  <si>
    <t>SUB_RATIO:대체비율
MIX_MATERIAL_ADD:원료추가
BYPRODUCT:부산물</t>
  </si>
  <si>
    <t>BASE_MIX_MATERIAL_CODE</t>
  </si>
  <si>
    <t>MIX_MATERIAL_CODE</t>
  </si>
  <si>
    <t>MIX_MATERIAL_UOM</t>
  </si>
  <si>
    <t>MIX_WORK_ORDER</t>
    <phoneticPr fontId="7" type="noConversion"/>
  </si>
  <si>
    <t>MIX_SETTING</t>
    <phoneticPr fontId="7" type="noConversion"/>
  </si>
  <si>
    <t>MIX_RESULT</t>
  </si>
  <si>
    <t>배합 결과</t>
    <phoneticPr fontId="7" type="noConversion"/>
  </si>
  <si>
    <t>배합 설정값</t>
    <phoneticPr fontId="7" type="noConversion"/>
  </si>
  <si>
    <t>배합 작업지시</t>
    <phoneticPr fontId="7" type="noConversion"/>
  </si>
  <si>
    <t>MIX_MATERIAL_CODE</t>
    <phoneticPr fontId="7" type="noConversion"/>
  </si>
  <si>
    <t>인출빈</t>
    <phoneticPr fontId="7" type="noConversion"/>
  </si>
  <si>
    <t>스케일</t>
    <phoneticPr fontId="7" type="noConversion"/>
  </si>
  <si>
    <t>SCALE_CODE</t>
    <phoneticPr fontId="7" type="noConversion"/>
  </si>
  <si>
    <t>BIN_CODE</t>
    <phoneticPr fontId="7" type="noConversion"/>
  </si>
  <si>
    <t>변경배치</t>
    <phoneticPr fontId="7" type="noConversion"/>
  </si>
  <si>
    <t>변경ID</t>
    <phoneticPr fontId="7" type="noConversion"/>
  </si>
  <si>
    <t>CHANGE_ID</t>
    <phoneticPr fontId="7" type="noConversion"/>
  </si>
  <si>
    <t>변경전스케일</t>
    <phoneticPr fontId="7" type="noConversion"/>
  </si>
  <si>
    <t>변경후스케일</t>
    <phoneticPr fontId="7" type="noConversion"/>
  </si>
  <si>
    <t>변경전빈</t>
    <phoneticPr fontId="7" type="noConversion"/>
  </si>
  <si>
    <t>변경후빈</t>
    <phoneticPr fontId="7" type="noConversion"/>
  </si>
  <si>
    <t>변경전원료코드</t>
    <phoneticPr fontId="7" type="noConversion"/>
  </si>
  <si>
    <t>변경후원료코드</t>
    <phoneticPr fontId="7" type="noConversion"/>
  </si>
  <si>
    <t>변경전설정값</t>
    <phoneticPr fontId="7" type="noConversion"/>
  </si>
  <si>
    <t>변경후설정값</t>
    <phoneticPr fontId="7" type="noConversion"/>
  </si>
  <si>
    <t>변경전설정비율</t>
    <phoneticPr fontId="7" type="noConversion"/>
  </si>
  <si>
    <t>변경후설정비율</t>
    <phoneticPr fontId="7" type="noConversion"/>
  </si>
  <si>
    <t>OLD_SCALE_CODE</t>
    <phoneticPr fontId="7" type="noConversion"/>
  </si>
  <si>
    <t>NEW_SCALE_CODE</t>
    <phoneticPr fontId="7" type="noConversion"/>
  </si>
  <si>
    <t>OLD_BIN_CODE</t>
    <phoneticPr fontId="7" type="noConversion"/>
  </si>
  <si>
    <t>NEW_BIN_CODE</t>
    <phoneticPr fontId="7" type="noConversion"/>
  </si>
  <si>
    <t>OLD_MIX_MATERIAL_CODE</t>
    <phoneticPr fontId="7" type="noConversion"/>
  </si>
  <si>
    <t>NEW_MIX_MATERIAL_CODE</t>
    <phoneticPr fontId="7" type="noConversion"/>
  </si>
  <si>
    <t>OLD_MIX_RATIO</t>
    <phoneticPr fontId="7" type="noConversion"/>
  </si>
  <si>
    <t>NEW_MIX_RATIO</t>
    <phoneticPr fontId="7" type="noConversion"/>
  </si>
  <si>
    <t>계량순서</t>
    <phoneticPr fontId="7" type="noConversion"/>
  </si>
  <si>
    <t>SEQ</t>
    <phoneticPr fontId="7" type="noConversion"/>
  </si>
  <si>
    <t>계량값</t>
    <phoneticPr fontId="7" type="noConversion"/>
  </si>
  <si>
    <t>MIX_QTY</t>
    <phoneticPr fontId="7" type="noConversion"/>
  </si>
  <si>
    <t>OLD_SET_QTY</t>
    <phoneticPr fontId="7" type="noConversion"/>
  </si>
  <si>
    <t>NEW_SET_QTY</t>
    <phoneticPr fontId="7" type="noConversion"/>
  </si>
  <si>
    <t>RESULT_QTY_SET</t>
    <phoneticPr fontId="8" type="noConversion"/>
  </si>
  <si>
    <t>RESULT_QTY_ACT</t>
    <phoneticPr fontId="8" type="noConversion"/>
  </si>
  <si>
    <t>;</t>
    <phoneticPr fontId="7" type="noConversion"/>
  </si>
  <si>
    <t>컬럼명한글</t>
  </si>
  <si>
    <t>회사코드</t>
  </si>
  <si>
    <t>COMPANY_CODE</t>
  </si>
  <si>
    <t>회사명</t>
  </si>
  <si>
    <t>COMPANY_NAME</t>
  </si>
  <si>
    <t>사용여부(공통코드)</t>
  </si>
  <si>
    <t>COMPANY</t>
    <phoneticPr fontId="7" type="noConversion"/>
  </si>
  <si>
    <t>회사</t>
    <phoneticPr fontId="7" type="noConversion"/>
  </si>
  <si>
    <t>회사코드</t>
    <phoneticPr fontId="7" type="noConversion"/>
  </si>
  <si>
    <t>COMPANY_CODE</t>
    <phoneticPr fontId="7" type="noConversion"/>
  </si>
  <si>
    <t>LINE_CODE</t>
  </si>
  <si>
    <t>VEHICLE</t>
    <phoneticPr fontId="7" type="noConversion"/>
  </si>
  <si>
    <t>VEHICLE_CODE</t>
    <phoneticPr fontId="7" type="noConversion"/>
  </si>
  <si>
    <t>VEHICLE_NO</t>
    <phoneticPr fontId="7" type="noConversion"/>
  </si>
  <si>
    <t>VEHICLE_TON_CODE</t>
    <phoneticPr fontId="7" type="noConversion"/>
  </si>
  <si>
    <t>VEHICLE_GROUP</t>
    <phoneticPr fontId="7" type="noConversion"/>
  </si>
  <si>
    <t>PRODUCT_GROUP</t>
    <phoneticPr fontId="7" type="noConversion"/>
  </si>
  <si>
    <t>MATERIAL_TYPE</t>
    <phoneticPr fontId="7" type="noConversion"/>
  </si>
  <si>
    <t>INITBY</t>
  </si>
  <si>
    <t>INITDTTM</t>
  </si>
  <si>
    <t>UPDTTM</t>
  </si>
  <si>
    <t>UPBY</t>
  </si>
  <si>
    <t>정렬순서</t>
  </si>
  <si>
    <t>USEFLAG</t>
    <phoneticPr fontId="7" type="noConversion"/>
  </si>
  <si>
    <t>'Y'</t>
  </si>
  <si>
    <t>CODEVALUE</t>
  </si>
  <si>
    <t>DISPLAYVALUE</t>
  </si>
  <si>
    <t>DEFAULT</t>
  </si>
  <si>
    <t>코드값</t>
  </si>
  <si>
    <t>부모코드</t>
  </si>
  <si>
    <t>PCODEVALUE</t>
  </si>
  <si>
    <t>표시값</t>
  </si>
  <si>
    <t>참조1</t>
  </si>
  <si>
    <t>REF1</t>
  </si>
  <si>
    <t>참조2</t>
  </si>
  <si>
    <t>REF2</t>
  </si>
  <si>
    <t>참조3</t>
  </si>
  <si>
    <t>REF3</t>
  </si>
  <si>
    <t>SYSDATE</t>
  </si>
  <si>
    <t>참조1명</t>
  </si>
  <si>
    <t>REF1_NAME</t>
  </si>
  <si>
    <t>참조2명</t>
  </si>
  <si>
    <t>REF2_NAME</t>
  </si>
  <si>
    <t>참조3명</t>
  </si>
  <si>
    <t>REF3_NAME</t>
  </si>
  <si>
    <t>Sort_NUM</t>
    <phoneticPr fontId="7" type="noConversion"/>
  </si>
  <si>
    <t>PRODUCT_TYPE</t>
    <phoneticPr fontId="7" type="noConversion"/>
  </si>
  <si>
    <t>PRODUCT_CODE</t>
    <phoneticPr fontId="7" type="noConversion"/>
  </si>
  <si>
    <t>PRODUCT_NAME</t>
    <phoneticPr fontId="7" type="noConversion"/>
  </si>
  <si>
    <t>제품유형</t>
    <phoneticPr fontId="7" type="noConversion"/>
  </si>
  <si>
    <t>-- 코멘트 보기 view 생성                                                                                                                                                                             CREATE OR REPLACE view V_TABLE_COMMENT AS
                                                                                                                                                                                                                                                                SELECT
      A.TABLE_NAME
    , A.COLUMN_ID
    , A.COLUMN_NAME
    , A.DATA_TYPE
    , B.COMMENTS
                                                                                                                                                                                                                                                                FROM USER_TAB_COLUMNS A
                                                                                                                                                                                                                                                                LEFT JOIN USER_COL_COMMENTS B
  ON A.TABLE_NAME = B.TABLE_NAME
 AND A.COLUMN_NAME = B.COLUMN_NAME</t>
    <phoneticPr fontId="7" type="noConversion"/>
  </si>
  <si>
    <t>MATERIAL_NAME</t>
    <phoneticPr fontId="7" type="noConversion"/>
  </si>
  <si>
    <t>MATERIAL</t>
    <phoneticPr fontId="7" type="noConversion"/>
  </si>
  <si>
    <t>배합단계</t>
    <phoneticPr fontId="7" type="noConversion"/>
  </si>
  <si>
    <t>MIX_STAGE</t>
  </si>
  <si>
    <t>PRE/MAIN</t>
    <phoneticPr fontId="7" type="noConversion"/>
  </si>
  <si>
    <t>PK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</si>
</sst>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rgb="FF000000"/>
      <name val="맑은 고딕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u/>
      <sz val="11"/>
      <color rgb="FF0000FF"/>
      <name val="맑은 고딕"/>
      <family val="3"/>
      <charset val="129"/>
    </font>
    <font>
      <sz val="11"/>
      <color rgb="FF000000"/>
      <name val="맑은 고딕"/>
      <family val="3"/>
      <charset val="129"/>
    </font>
    <font>
      <u/>
      <sz val="11"/>
      <color theme="10"/>
      <name val="맑은 고딕"/>
      <family val="3"/>
      <charset val="129"/>
    </font>
    <font>
      <sz val="8"/>
      <name val="돋움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3" fillId="0" borderId="0"/>
    <xf numFmtId="0" fontId="3" fillId="0" borderId="0"/>
  </cellStyleXfs>
  <cellXfs count="24">
    <xf numFmtId="0" fontId="0" fillId="0" borderId="0" xfId="0" applyAlignment="1"/>
    <xf numFmtId="0" fontId="5" fillId="0" borderId="0" xfId="2" applyAlignment="1"/>
    <xf numFmtId="0" fontId="5" fillId="0" borderId="1" xfId="2" applyBorder="1" applyAlignment="1"/>
    <xf numFmtId="0" fontId="0" fillId="0" borderId="0" xfId="1" applyFont="1" applyAlignment="1"/>
    <xf numFmtId="0" fontId="2" fillId="0" borderId="2" xfId="4" applyFont="1" applyBorder="1" applyAlignment="1">
      <alignment vertical="center"/>
    </xf>
    <xf numFmtId="0" fontId="2" fillId="0" borderId="3" xfId="4" applyFont="1" applyBorder="1" applyAlignment="1">
      <alignment vertical="center"/>
    </xf>
    <xf numFmtId="0" fontId="2" fillId="0" borderId="2" xfId="5" applyFont="1" applyBorder="1" applyAlignment="1">
      <alignment vertical="center"/>
    </xf>
    <xf numFmtId="0" fontId="2" fillId="0" borderId="1" xfId="5" applyFont="1" applyBorder="1" applyAlignment="1">
      <alignment horizontal="left" vertical="center"/>
    </xf>
    <xf numFmtId="0" fontId="2" fillId="0" borderId="1" xfId="4" applyFont="1" applyBorder="1" applyAlignment="1">
      <alignment horizontal="left" vertical="center"/>
    </xf>
    <xf numFmtId="0" fontId="2" fillId="0" borderId="1" xfId="5" applyFont="1" applyBorder="1" applyAlignment="1">
      <alignment vertical="center"/>
    </xf>
    <xf numFmtId="0" fontId="4" fillId="0" borderId="0" xfId="1" applyFont="1" applyAlignment="1"/>
    <xf numFmtId="0" fontId="4" fillId="0" borderId="0" xfId="2" applyFont="1" applyAlignment="1"/>
    <xf numFmtId="0" fontId="1" fillId="0" borderId="1" xfId="2" applyFont="1" applyBorder="1" applyAlignment="1"/>
    <xf numFmtId="0" fontId="1" fillId="0" borderId="0" xfId="0" applyFont="1" applyAlignment="1"/>
    <xf numFmtId="0" fontId="1" fillId="0" borderId="1" xfId="0" applyFont="1" applyBorder="1" applyAlignment="1"/>
    <xf numFmtId="0" fontId="1" fillId="0" borderId="1" xfId="2" quotePrefix="1" applyFont="1" applyBorder="1" applyAlignment="1"/>
    <xf numFmtId="0" fontId="6" fillId="0" borderId="0" xfId="1" applyAlignment="1"/>
    <xf numFmtId="0" fontId="0" fillId="0" borderId="1" xfId="0" applyBorder="1" applyAlignment="1"/>
    <xf numFmtId="0" fontId="5" fillId="0" borderId="1" xfId="2" quotePrefix="1" applyBorder="1" applyAlignment="1"/>
    <xf numFmtId="0" fontId="5" fillId="0" borderId="3" xfId="2" applyBorder="1" applyAlignment="1"/>
    <xf numFmtId="0" fontId="1" fillId="0" borderId="1" xfId="2" applyFont="1" applyBorder="1" applyAlignment="1">
      <alignment wrapText="1"/>
    </xf>
    <xf numFmtId="0" fontId="1" fillId="0" borderId="0" xfId="2" applyFont="1" applyAlignment="1"/>
    <xf numFmtId="0" fontId="0" fillId="0" borderId="0" xfId="0">
      <alignment vertical="center"/>
    </xf>
    <xf numFmtId="0" fontId="1" fillId="0" borderId="0" xfId="0" quotePrefix="1" applyFont="1" applyAlignment="1">
      <alignment horizontal="center" wrapText="1"/>
    </xf>
  </cellXfs>
  <cellStyles count="6">
    <cellStyle name="표준" xfId="0" builtinId="0"/>
    <cellStyle name="표준 2" xfId="5" xr:uid="{00000000-0005-0000-0000-000004000000}"/>
    <cellStyle name="표준 2 2" xfId="4" xr:uid="{00000000-0005-0000-0000-000003000000}"/>
    <cellStyle name="표준 3" xfId="3" xr:uid="{00000000-0005-0000-0000-000002000000}"/>
    <cellStyle name="표준 4" xfId="2" xr:uid="{00000000-0005-0000-0000-000001000000}"/>
    <cellStyle name="하이퍼링크" xfId="1" builtinId="8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theme" Target="theme/theme1.xml"/><Relationship Id="rId47" Type="http://schemas.microsoft.com/office/2017/06/relationships/rdRichValueStructure" Target="richData/rdrichvaluestructure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tyles" Target="styles.xml"/><Relationship Id="rId48" Type="http://schemas.microsoft.com/office/2017/06/relationships/rdRichValueTypes" Target="richData/rdRichValueTyp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microsoft.com/office/2017/06/relationships/rdRichValue" Target="richData/rdrichvalue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4"/>
  <dimension ref="C2:I36"/>
  <sheetViews>
    <sheetView topLeftCell="A13" zoomScaleNormal="75" zoomScaleSheetLayoutView="100" workbookViewId="0"/>
  </sheetViews>
  <sheetFormatPr defaultColWidth="9" defaultRowHeight="16.5" x14ac:dyDescent="0.3"/>
  <cols>
    <col min="2" max="3" width="9" customWidth="1"/>
    <col min="4" max="4" width="13.625" bestFit="1" customWidth="1"/>
    <col min="5" max="5" width="23.875" bestFit="1" customWidth="1"/>
    <col min="9" max="9" width="52.875" customWidth="1"/>
  </cols>
  <sheetData>
    <row r="2" spans="3:9" ht="16.5" customHeight="1" x14ac:dyDescent="0.3">
      <c r="C2">
        <v>0</v>
      </c>
      <c r="D2" t="s">
        <v>368</v>
      </c>
      <c r="E2" s="16" t="s">
        <v>272</v>
      </c>
      <c r="I2" s="23" t="s">
        <v>822</v>
      </c>
    </row>
    <row r="3" spans="3:9" x14ac:dyDescent="0.3">
      <c r="C3">
        <v>1</v>
      </c>
      <c r="D3" t="s">
        <v>440</v>
      </c>
      <c r="E3" s="16" t="s">
        <v>150</v>
      </c>
      <c r="I3" s="23"/>
    </row>
    <row r="4" spans="3:9" x14ac:dyDescent="0.3">
      <c r="C4">
        <v>2</v>
      </c>
      <c r="D4" t="s">
        <v>41</v>
      </c>
      <c r="E4" s="11" t="s">
        <v>67</v>
      </c>
      <c r="I4" s="23"/>
    </row>
    <row r="5" spans="3:9" x14ac:dyDescent="0.3">
      <c r="C5">
        <v>3</v>
      </c>
      <c r="D5" s="13" t="s">
        <v>526</v>
      </c>
      <c r="E5" s="16" t="s">
        <v>527</v>
      </c>
      <c r="I5" s="23"/>
    </row>
    <row r="6" spans="3:9" x14ac:dyDescent="0.3">
      <c r="C6">
        <v>4</v>
      </c>
      <c r="D6" t="s">
        <v>476</v>
      </c>
      <c r="E6" s="10" t="s">
        <v>43</v>
      </c>
      <c r="I6" s="23"/>
    </row>
    <row r="7" spans="3:9" x14ac:dyDescent="0.3">
      <c r="C7">
        <v>5</v>
      </c>
      <c r="D7" s="13" t="s">
        <v>678</v>
      </c>
      <c r="E7" s="16" t="s">
        <v>679</v>
      </c>
      <c r="I7" s="23"/>
    </row>
    <row r="8" spans="3:9" x14ac:dyDescent="0.3">
      <c r="C8">
        <v>6</v>
      </c>
      <c r="D8" s="13" t="s">
        <v>547</v>
      </c>
      <c r="E8" s="16" t="s">
        <v>548</v>
      </c>
      <c r="I8" s="23"/>
    </row>
    <row r="9" spans="3:9" x14ac:dyDescent="0.3">
      <c r="C9">
        <v>7</v>
      </c>
      <c r="D9" t="s">
        <v>100</v>
      </c>
      <c r="E9" s="11" t="s">
        <v>204</v>
      </c>
      <c r="I9" s="23"/>
    </row>
    <row r="10" spans="3:9" x14ac:dyDescent="0.3">
      <c r="C10">
        <v>8</v>
      </c>
      <c r="D10" t="s">
        <v>98</v>
      </c>
      <c r="E10" s="11" t="s">
        <v>117</v>
      </c>
      <c r="I10" s="23"/>
    </row>
    <row r="11" spans="3:9" x14ac:dyDescent="0.3">
      <c r="C11">
        <v>9</v>
      </c>
      <c r="D11" s="13" t="s">
        <v>566</v>
      </c>
      <c r="E11" s="16" t="s">
        <v>571</v>
      </c>
      <c r="I11" s="23"/>
    </row>
    <row r="12" spans="3:9" ht="18" customHeight="1" x14ac:dyDescent="0.3">
      <c r="C12">
        <v>10</v>
      </c>
      <c r="D12" s="13" t="s">
        <v>572</v>
      </c>
      <c r="E12" s="16" t="s">
        <v>574</v>
      </c>
      <c r="I12" s="23"/>
    </row>
    <row r="13" spans="3:9" ht="18" customHeight="1" x14ac:dyDescent="0.3">
      <c r="C13">
        <v>11</v>
      </c>
      <c r="D13" s="13" t="s">
        <v>594</v>
      </c>
      <c r="E13" s="16" t="s">
        <v>595</v>
      </c>
      <c r="I13" s="23"/>
    </row>
    <row r="14" spans="3:9" ht="18" customHeight="1" x14ac:dyDescent="0.3">
      <c r="C14">
        <v>12</v>
      </c>
      <c r="D14" s="13" t="s">
        <v>617</v>
      </c>
      <c r="E14" s="16" t="s">
        <v>616</v>
      </c>
      <c r="I14" s="23"/>
    </row>
    <row r="15" spans="3:9" x14ac:dyDescent="0.3">
      <c r="C15">
        <v>13</v>
      </c>
      <c r="D15" t="s">
        <v>337</v>
      </c>
      <c r="E15" s="10" t="s">
        <v>284</v>
      </c>
      <c r="I15" s="23"/>
    </row>
    <row r="16" spans="3:9" x14ac:dyDescent="0.3">
      <c r="C16">
        <v>14</v>
      </c>
      <c r="D16" t="s">
        <v>20</v>
      </c>
      <c r="E16" s="10" t="s">
        <v>152</v>
      </c>
      <c r="I16" s="23"/>
    </row>
    <row r="17" spans="3:5" x14ac:dyDescent="0.3">
      <c r="C17">
        <v>15</v>
      </c>
      <c r="D17" t="s">
        <v>429</v>
      </c>
      <c r="E17" s="16" t="s">
        <v>620</v>
      </c>
    </row>
    <row r="18" spans="3:5" x14ac:dyDescent="0.3">
      <c r="C18">
        <v>16</v>
      </c>
      <c r="D18" t="s">
        <v>121</v>
      </c>
      <c r="E18" s="16" t="s">
        <v>660</v>
      </c>
    </row>
    <row r="19" spans="3:5" x14ac:dyDescent="0.3">
      <c r="C19">
        <v>17</v>
      </c>
      <c r="D19" t="s">
        <v>488</v>
      </c>
      <c r="E19" s="11" t="s">
        <v>174</v>
      </c>
    </row>
    <row r="20" spans="3:5" x14ac:dyDescent="0.3">
      <c r="C20">
        <v>18</v>
      </c>
      <c r="D20" t="s">
        <v>494</v>
      </c>
      <c r="E20" s="11" t="s">
        <v>159</v>
      </c>
    </row>
    <row r="21" spans="3:5" x14ac:dyDescent="0.3">
      <c r="C21">
        <v>19</v>
      </c>
      <c r="D21" s="13" t="s">
        <v>704</v>
      </c>
      <c r="E21" s="16" t="s">
        <v>622</v>
      </c>
    </row>
    <row r="22" spans="3:5" x14ac:dyDescent="0.3">
      <c r="C22">
        <v>20</v>
      </c>
      <c r="D22" t="s">
        <v>489</v>
      </c>
      <c r="E22" s="16" t="s">
        <v>711</v>
      </c>
    </row>
    <row r="23" spans="3:5" x14ac:dyDescent="0.3">
      <c r="C23">
        <v>21</v>
      </c>
      <c r="D23" s="13" t="s">
        <v>621</v>
      </c>
      <c r="E23" s="16" t="s">
        <v>726</v>
      </c>
    </row>
    <row r="24" spans="3:5" x14ac:dyDescent="0.3">
      <c r="C24">
        <v>22</v>
      </c>
      <c r="D24" t="s">
        <v>376</v>
      </c>
      <c r="E24" s="16" t="s">
        <v>675</v>
      </c>
    </row>
    <row r="25" spans="3:5" x14ac:dyDescent="0.3">
      <c r="C25">
        <v>23</v>
      </c>
      <c r="D25" t="s">
        <v>512</v>
      </c>
      <c r="E25" s="16" t="s">
        <v>676</v>
      </c>
    </row>
    <row r="26" spans="3:5" x14ac:dyDescent="0.3">
      <c r="C26">
        <v>24</v>
      </c>
      <c r="D26" t="s">
        <v>356</v>
      </c>
      <c r="E26" s="11" t="s">
        <v>303</v>
      </c>
    </row>
    <row r="27" spans="3:5" x14ac:dyDescent="0.3">
      <c r="C27">
        <v>25</v>
      </c>
      <c r="D27" t="s">
        <v>362</v>
      </c>
      <c r="E27" s="11" t="s">
        <v>424</v>
      </c>
    </row>
    <row r="28" spans="3:5" x14ac:dyDescent="0.3">
      <c r="C28">
        <v>26</v>
      </c>
      <c r="D28" s="2" t="s">
        <v>375</v>
      </c>
      <c r="E28" s="11" t="s">
        <v>319</v>
      </c>
    </row>
    <row r="29" spans="3:5" x14ac:dyDescent="0.3">
      <c r="C29">
        <v>27</v>
      </c>
      <c r="D29" t="s">
        <v>387</v>
      </c>
      <c r="E29" s="11" t="s">
        <v>314</v>
      </c>
    </row>
    <row r="30" spans="3:5" x14ac:dyDescent="0.3">
      <c r="C30">
        <v>28</v>
      </c>
      <c r="D30" t="s">
        <v>336</v>
      </c>
      <c r="E30" s="11" t="s">
        <v>276</v>
      </c>
    </row>
    <row r="31" spans="3:5" x14ac:dyDescent="0.3">
      <c r="C31">
        <v>29</v>
      </c>
      <c r="D31" t="s">
        <v>382</v>
      </c>
      <c r="E31" s="11" t="s">
        <v>411</v>
      </c>
    </row>
    <row r="32" spans="3:5" x14ac:dyDescent="0.3">
      <c r="C32">
        <v>30</v>
      </c>
      <c r="D32" t="s">
        <v>410</v>
      </c>
      <c r="E32" s="11" t="s">
        <v>473</v>
      </c>
    </row>
    <row r="33" spans="3:5" x14ac:dyDescent="0.3">
      <c r="C33">
        <v>31</v>
      </c>
      <c r="D33" t="s">
        <v>510</v>
      </c>
      <c r="E33" s="11" t="s">
        <v>406</v>
      </c>
    </row>
    <row r="34" spans="3:5" x14ac:dyDescent="0.3">
      <c r="C34">
        <v>32</v>
      </c>
      <c r="D34" t="s">
        <v>86</v>
      </c>
      <c r="E34" s="11" t="s">
        <v>258</v>
      </c>
    </row>
    <row r="35" spans="3:5" x14ac:dyDescent="0.3">
      <c r="C35">
        <v>33</v>
      </c>
      <c r="D35" t="s">
        <v>408</v>
      </c>
      <c r="E35" s="11" t="s">
        <v>486</v>
      </c>
    </row>
    <row r="36" spans="3:5" x14ac:dyDescent="0.3">
      <c r="C36">
        <v>34</v>
      </c>
      <c r="D36" t="s">
        <v>357</v>
      </c>
      <c r="E36" s="11" t="s">
        <v>439</v>
      </c>
    </row>
  </sheetData>
  <mergeCells count="1">
    <mergeCell ref="I2:I16"/>
  </mergeCells>
  <phoneticPr fontId="7" type="noConversion"/>
  <hyperlinks>
    <hyperlink ref="E6" location="PROCESS!A1" display="PROCESS" xr:uid="{00000000-0004-0000-0000-000000000000}"/>
    <hyperlink ref="E15" location="EQUIPMENT!A1" display="EQUIPMENT" xr:uid="{00000000-0004-0000-0000-000001000000}"/>
    <hyperlink ref="E16" location="'CUSTOMERS'!A1" display="CUSTOMERS" xr:uid="{00000000-0004-0000-0000-000002000000}"/>
    <hyperlink ref="E3" location="PROJECTS!A1" display="PROJECTS" xr:uid="{00000000-0004-0000-0000-000003000000}"/>
    <hyperlink ref="E4" location="PROJECT_MANAGEMENT!A1" display="PROJECT_MANAGEMENT" xr:uid="{00000000-0004-0000-0000-000004000000}"/>
    <hyperlink ref="E2" location="COMMON_CODE!A1" display="COMMON_CODE" xr:uid="{00000000-0004-0000-0000-000005000000}"/>
    <hyperlink ref="E10" location="BIN!A1" display="BIN" xr:uid="{00000000-0004-0000-0000-000006000000}"/>
    <hyperlink ref="E9" location="SCALE!A1" display="SCALE" xr:uid="{00000000-0004-0000-0000-000007000000}"/>
    <hyperlink ref="E17" location="CAR_MASTER!A1" display="CAR_MASTER" xr:uid="{00000000-0004-0000-0000-000008000000}"/>
    <hyperlink ref="E18" location="EMPLOYEES!A1" display="EMPLOYEES" xr:uid="{00000000-0004-0000-0000-00000A000000}"/>
    <hyperlink ref="E19" location="MENU_INFO!A1" display="MENU_INFO" xr:uid="{00000000-0004-0000-0000-00000B000000}"/>
    <hyperlink ref="E20" location="MENU_AUTH!A1" display="MENU_AUTH" xr:uid="{00000000-0004-0000-0000-00000C000000}"/>
    <hyperlink ref="E24" location="MIXING_RECIPE!A1" display="MIXING_RECIPE" xr:uid="{00000000-0004-0000-0000-00000F000000}"/>
    <hyperlink ref="E25" location="MIXING_RECIPE_DETAIL!A1" display="MIXING_RECIPE_DETAIL" xr:uid="{00000000-0004-0000-0000-000010000000}"/>
    <hyperlink ref="E26" location="WORK_ORDER!A1" display="WORK_ORDER" xr:uid="{00000000-0004-0000-0000-000011000000}"/>
    <hyperlink ref="E27" location="WORK_DETAIL!A1" display="WORK_DETAIL" xr:uid="{00000000-0004-0000-0000-000012000000}"/>
    <hyperlink ref="E28" location="SMASH!A1" display="SMASH" xr:uid="{00000000-0004-0000-0000-000013000000}"/>
    <hyperlink ref="E29" location="PELLET!A1" display="PELLET" xr:uid="{00000000-0004-0000-0000-000014000000}"/>
    <hyperlink ref="E30" location="PACK!A1" display="PACK" xr:uid="{00000000-0004-0000-0000-000015000000}"/>
    <hyperlink ref="E31" location="TYCONES!A1" display="TYCONES" xr:uid="{00000000-0004-0000-0000-000016000000}"/>
    <hyperlink ref="E32" location="MATERIAL_MOVE!A1" display="MATERIAL_MOVING" xr:uid="{00000000-0004-0000-0000-000017000000}"/>
    <hyperlink ref="E33" location="STOCK_CHANGE!A1" display="STOCK_CHANGE" xr:uid="{00000000-0004-0000-0000-000018000000}"/>
    <hyperlink ref="E34" location="STOCK!A1" display="STOCK" xr:uid="{00000000-0004-0000-0000-000019000000}"/>
    <hyperlink ref="E35" location="'REST_TIME'!A1" display="REST_TIME" xr:uid="{00000000-0004-0000-0000-00001A000000}"/>
    <hyperlink ref="E36" location="EQUIP_TROUBLE!A1" display="EQUIP_TROUBLE" xr:uid="{00000000-0004-0000-0000-00001B000000}"/>
    <hyperlink ref="E8" location="LOCATION!A1" display="LOCATION" xr:uid="{C142BFBE-E94C-4924-B42F-8AA929E50B5D}"/>
    <hyperlink ref="E11" location="STOCK_CLOSING!A1" display="STOCK_CLOSING" xr:uid="{213EB39F-1164-46AD-8835-C34F7C91F913}"/>
    <hyperlink ref="E12" location="STOCK_ADJUST!A1" display="STOCK_ADJUST" xr:uid="{24E782FD-5467-4192-A3FC-5B5672EF6BE1}"/>
    <hyperlink ref="E13" location="ROUTING!A1" display="ROUTING" xr:uid="{AE576597-D572-4F85-A7C2-30F53B375A46}"/>
    <hyperlink ref="E14" location="FEED_LABEL!A1" display="FEED_LABEL" xr:uid="{D09A4E13-610E-4603-AEBD-DE5FE65AB2DC}"/>
    <hyperlink ref="E23" location="INGRED!A1" display="INGRED" xr:uid="{00000000-0004-0000-0000-00000D000000}"/>
    <hyperlink ref="E5" location="PLANT!A1" display="PLANT" xr:uid="{A78CD00F-A2D9-4F6C-A5C7-D239296D1978}"/>
    <hyperlink ref="E7" location="LINE!A1" display="LINE" xr:uid="{124FAB47-633F-42F2-978C-865F35E60DBC}"/>
    <hyperlink ref="E22" location="MATERAL_ADJUST!A1" display="MATERAL_ADJUST" xr:uid="{A1A40459-3550-4830-AE35-80C1CFB44E69}"/>
    <hyperlink ref="E21" location="MATERIALS!A1" display="MATERIALS" xr:uid="{AF2F4FB8-F7B1-43A2-B44F-FC05B442E12F}"/>
  </hyperlinks>
  <pageMargins left="0.74805557727813721" right="0.74805557727813721" top="0.98430556058883667" bottom="0.98430556058883667" header="0.51180553436279297" footer="0.51180553436279297"/>
  <pageSetup paperSize="9" fitToWidth="0" fitToHeight="0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X48"/>
  <sheetViews>
    <sheetView zoomScaleNormal="100" zoomScaleSheetLayoutView="100" workbookViewId="0">
      <selection activeCell="J3" sqref="J3:Q3"/>
    </sheetView>
  </sheetViews>
  <sheetFormatPr defaultColWidth="9" defaultRowHeight="16.5" x14ac:dyDescent="0.3"/>
  <cols>
    <col min="1" max="1" width="8.625" bestFit="1" customWidth="1"/>
    <col min="2" max="2" width="13.75" bestFit="1" customWidth="1"/>
    <col min="3" max="3" width="14.125" bestFit="1" customWidth="1"/>
    <col min="4" max="4" width="19.375" bestFit="1" customWidth="1"/>
    <col min="5" max="5" width="12.75" bestFit="1" customWidth="1"/>
    <col min="6" max="6" width="6.75" bestFit="1" customWidth="1"/>
    <col min="7" max="7" width="9" bestFit="1" customWidth="1"/>
    <col min="8" max="8" width="9" customWidth="1"/>
    <col min="10" max="11" width="16.875" customWidth="1"/>
    <col min="12" max="12" width="1.625" bestFit="1" customWidth="1"/>
    <col min="13" max="13" width="3.75" customWidth="1"/>
    <col min="14" max="14" width="1.625" bestFit="1" customWidth="1"/>
    <col min="15" max="15" width="18.375" bestFit="1" customWidth="1"/>
    <col min="16" max="17" width="10.125" bestFit="1" customWidth="1"/>
    <col min="18" max="18" width="16.875" customWidth="1"/>
  </cols>
  <sheetData>
    <row r="1" spans="1:24" x14ac:dyDescent="0.3">
      <c r="A1" s="16" t="s">
        <v>615</v>
      </c>
    </row>
    <row r="2" spans="1:24" x14ac:dyDescent="0.3">
      <c r="A2" s="2"/>
      <c r="B2" s="2" t="s">
        <v>116</v>
      </c>
      <c r="C2" s="2" t="s">
        <v>119</v>
      </c>
      <c r="D2" s="2" t="s">
        <v>112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24" x14ac:dyDescent="0.3">
      <c r="A3" s="2"/>
      <c r="B3" s="12" t="s">
        <v>650</v>
      </c>
      <c r="C3" s="12" t="s">
        <v>651</v>
      </c>
      <c r="D3" s="2"/>
      <c r="E3" s="1"/>
      <c r="F3" s="1"/>
      <c r="G3" s="1"/>
      <c r="H3" s="1"/>
      <c r="I3" s="1"/>
      <c r="J3" s="13" t="str">
        <f>"DROP TABLE "&amp;C3&amp;" CASCADE CONSTRAINTS PURGE"</f>
        <v>DROP TABLE TEMPTABLE CASCADE CONSTRAINTS PURGE</v>
      </c>
      <c r="K3" s="1"/>
      <c r="L3" s="1"/>
      <c r="M3" s="1"/>
      <c r="N3" s="1"/>
      <c r="O3" s="1"/>
      <c r="P3" s="21"/>
      <c r="Q3" s="21" t="s">
        <v>771</v>
      </c>
      <c r="R3" s="1"/>
      <c r="S3" s="1"/>
    </row>
    <row r="4" spans="1:2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24" x14ac:dyDescent="0.3">
      <c r="A5" s="2" t="s">
        <v>88</v>
      </c>
      <c r="B5" s="2" t="s">
        <v>215</v>
      </c>
      <c r="C5" s="2" t="s">
        <v>252</v>
      </c>
      <c r="D5" s="2" t="s">
        <v>169</v>
      </c>
      <c r="E5" s="2" t="s">
        <v>265</v>
      </c>
      <c r="F5" s="2" t="s">
        <v>101</v>
      </c>
      <c r="G5" s="2" t="s">
        <v>205</v>
      </c>
      <c r="H5" s="12" t="s">
        <v>569</v>
      </c>
      <c r="I5" s="1"/>
      <c r="J5" s="1" t="str">
        <f>"CREATE TABLE "&amp;C3&amp;" ("</f>
        <v>CREATE TABLE TEMPTABLE (</v>
      </c>
      <c r="K5" s="1"/>
      <c r="L5" s="1"/>
      <c r="M5" s="1"/>
      <c r="N5" s="1"/>
      <c r="O5" s="1"/>
      <c r="P5" s="1"/>
      <c r="Q5" s="1"/>
      <c r="R5" s="1"/>
      <c r="S5" s="1" t="str">
        <f>"COMMENT ON TABLE " &amp; C3 &amp; " IS '" &amp; SUBSTITUTE(B3,"'","''") &amp; "'"</f>
        <v>COMMENT ON TABLE TEMPTABLE IS '테이블명'</v>
      </c>
      <c r="X5" s="13" t="s">
        <v>771</v>
      </c>
    </row>
    <row r="6" spans="1:24" x14ac:dyDescent="0.3">
      <c r="A6" s="2" t="s">
        <v>565</v>
      </c>
      <c r="B6" s="12" t="s">
        <v>780</v>
      </c>
      <c r="C6" s="14" t="s">
        <v>781</v>
      </c>
      <c r="D6" s="2"/>
      <c r="E6" s="2" t="s">
        <v>619</v>
      </c>
      <c r="F6" s="2">
        <v>20</v>
      </c>
      <c r="G6" s="2" t="s">
        <v>564</v>
      </c>
      <c r="H6" s="2"/>
      <c r="I6" s="1"/>
      <c r="J6" s="1" t="str">
        <f>""&amp;C6&amp;""</f>
        <v>COMPANY_CODE</v>
      </c>
      <c r="K6" s="1" t="str">
        <f>""&amp;E6&amp;""</f>
        <v>NVARCHAR2</v>
      </c>
      <c r="L6" s="1" t="str">
        <f>IF(F6="","","(")</f>
        <v>(</v>
      </c>
      <c r="M6" s="1">
        <f>IF(F6="","",F6)</f>
        <v>20</v>
      </c>
      <c r="N6" s="1" t="str">
        <f>IF(F6="","",")")</f>
        <v>)</v>
      </c>
      <c r="O6" s="1" t="str">
        <f t="shared" ref="O6:O46" si="0">IF(H6&lt;&gt;"","DEFAULT "&amp;H6,"")</f>
        <v/>
      </c>
      <c r="P6" s="1" t="str">
        <f>IF(G6="N","NOT NULL","NULL")</f>
        <v>NOT NULL</v>
      </c>
      <c r="Q6" s="1" t="s">
        <v>113</v>
      </c>
      <c r="S6" s="1" t="str">
        <f>"COMMENT ON COLUMN " &amp; C3 &amp; "." &amp; C6 &amp; " IS '" &amp; B6 &amp; "'"</f>
        <v>COMMENT ON COLUMN TEMPTABLE.COMPANY_CODE IS '회사코드'</v>
      </c>
      <c r="X6" s="13" t="s">
        <v>771</v>
      </c>
    </row>
    <row r="7" spans="1:24" x14ac:dyDescent="0.3">
      <c r="A7" s="2" t="s">
        <v>565</v>
      </c>
      <c r="B7" s="12" t="s">
        <v>538</v>
      </c>
      <c r="C7" s="14" t="s">
        <v>528</v>
      </c>
      <c r="D7" s="2"/>
      <c r="E7" s="2" t="s">
        <v>619</v>
      </c>
      <c r="F7" s="2">
        <v>20</v>
      </c>
      <c r="G7" s="2" t="s">
        <v>564</v>
      </c>
      <c r="H7" s="2"/>
      <c r="I7" s="1"/>
      <c r="J7" s="1" t="str">
        <f t="shared" ref="J7:J18" si="1">""&amp;C7&amp;""</f>
        <v>PLANT_CODE</v>
      </c>
      <c r="K7" s="1" t="str">
        <f t="shared" ref="K7:K18" si="2">""&amp;E7&amp;""</f>
        <v>NVARCHAR2</v>
      </c>
      <c r="L7" s="1" t="str">
        <f t="shared" ref="L7:L18" si="3">IF(F7="","","(")</f>
        <v>(</v>
      </c>
      <c r="M7" s="1">
        <f t="shared" ref="M7:M18" si="4">IF(F7="","",F7)</f>
        <v>20</v>
      </c>
      <c r="N7" s="1" t="str">
        <f t="shared" ref="N7:N18" si="5">IF(F7="","",")")</f>
        <v>)</v>
      </c>
      <c r="O7" s="1" t="str">
        <f t="shared" si="0"/>
        <v/>
      </c>
      <c r="P7" s="1" t="str">
        <f t="shared" ref="P7:P18" si="6">IF(G7="N","NOT NULL","NULL")</f>
        <v>NOT NULL</v>
      </c>
      <c r="Q7" s="1" t="s">
        <v>113</v>
      </c>
      <c r="R7" s="1"/>
      <c r="S7" s="1" t="str">
        <f>"COMMENT ON COLUMN " &amp; C3 &amp; "." &amp; C7 &amp; " IS '" &amp; B7 &amp; "'"</f>
        <v>COMMENT ON COLUMN TEMPTABLE.PLANT_CODE IS '공장코드'</v>
      </c>
      <c r="X7" s="13" t="s">
        <v>771</v>
      </c>
    </row>
    <row r="8" spans="1:24" x14ac:dyDescent="0.3">
      <c r="A8" s="2" t="s">
        <v>122</v>
      </c>
      <c r="B8" s="2" t="s">
        <v>245</v>
      </c>
      <c r="C8" s="2" t="s">
        <v>291</v>
      </c>
      <c r="D8" s="2"/>
      <c r="E8" s="2" t="s">
        <v>618</v>
      </c>
      <c r="F8" s="2">
        <v>10</v>
      </c>
      <c r="G8" s="2" t="s">
        <v>90</v>
      </c>
      <c r="H8" s="12"/>
      <c r="I8" s="1"/>
      <c r="J8" s="1" t="str">
        <f t="shared" si="1"/>
        <v>PROCESS_CODE</v>
      </c>
      <c r="K8" s="1" t="str">
        <f t="shared" si="2"/>
        <v>NVARCHAR2</v>
      </c>
      <c r="L8" s="1" t="str">
        <f t="shared" si="3"/>
        <v>(</v>
      </c>
      <c r="M8" s="1">
        <f t="shared" si="4"/>
        <v>10</v>
      </c>
      <c r="N8" s="1" t="str">
        <f t="shared" si="5"/>
        <v>)</v>
      </c>
      <c r="O8" s="1" t="str">
        <f t="shared" si="0"/>
        <v/>
      </c>
      <c r="P8" s="1" t="str">
        <f t="shared" si="6"/>
        <v>NOT NULL</v>
      </c>
      <c r="Q8" s="1" t="s">
        <v>113</v>
      </c>
      <c r="R8" s="1"/>
      <c r="S8" s="1" t="str">
        <f>"COMMENT ON COLUMN " &amp; C3 &amp; "." &amp; C8 &amp; " IS '" &amp; B8 &amp; "'"</f>
        <v>COMMENT ON COLUMN TEMPTABLE.PROCESS_CODE IS '공정코드'</v>
      </c>
      <c r="X8" s="13" t="s">
        <v>771</v>
      </c>
    </row>
    <row r="9" spans="1:24" x14ac:dyDescent="0.3">
      <c r="A9" s="2"/>
      <c r="B9" s="12" t="s">
        <v>654</v>
      </c>
      <c r="C9" s="12" t="s">
        <v>677</v>
      </c>
      <c r="D9" s="2"/>
      <c r="E9" s="2" t="s">
        <v>618</v>
      </c>
      <c r="F9" s="2">
        <v>10</v>
      </c>
      <c r="G9" s="2" t="s">
        <v>90</v>
      </c>
      <c r="H9" s="12"/>
      <c r="I9" s="1"/>
      <c r="J9" s="1" t="str">
        <f t="shared" si="1"/>
        <v>LINE_CODE</v>
      </c>
      <c r="K9" s="1" t="str">
        <f t="shared" si="2"/>
        <v>NVARCHAR2</v>
      </c>
      <c r="L9" s="1" t="str">
        <f t="shared" si="3"/>
        <v>(</v>
      </c>
      <c r="M9" s="1">
        <f t="shared" si="4"/>
        <v>10</v>
      </c>
      <c r="N9" s="1" t="str">
        <f t="shared" si="5"/>
        <v>)</v>
      </c>
      <c r="O9" s="1" t="str">
        <f t="shared" si="0"/>
        <v/>
      </c>
      <c r="P9" s="1" t="str">
        <f t="shared" si="6"/>
        <v>NOT NULL</v>
      </c>
      <c r="Q9" s="1" t="s">
        <v>113</v>
      </c>
      <c r="R9" s="1"/>
      <c r="S9" s="1" t="str">
        <f>"COMMENT ON COLUMN " &amp; C3 &amp; "." &amp; C9 &amp; " IS '" &amp; B9 &amp; "'"</f>
        <v>COMMENT ON COLUMN TEMPTABLE.LINE_CODE IS '라인코드'</v>
      </c>
      <c r="X9" s="13" t="s">
        <v>771</v>
      </c>
    </row>
    <row r="10" spans="1:24" x14ac:dyDescent="0.3">
      <c r="A10" s="2"/>
      <c r="B10" s="2"/>
      <c r="C10" s="2"/>
      <c r="D10" s="2"/>
      <c r="E10" s="2"/>
      <c r="F10" s="2"/>
      <c r="G10" s="12" t="s">
        <v>565</v>
      </c>
      <c r="H10" s="12"/>
      <c r="I10" s="1"/>
      <c r="J10" s="1" t="str">
        <f t="shared" si="1"/>
        <v/>
      </c>
      <c r="K10" s="1" t="str">
        <f t="shared" si="2"/>
        <v/>
      </c>
      <c r="L10" s="1" t="str">
        <f t="shared" si="3"/>
        <v/>
      </c>
      <c r="M10" s="1" t="str">
        <f t="shared" si="4"/>
        <v/>
      </c>
      <c r="N10" s="1" t="str">
        <f t="shared" si="5"/>
        <v/>
      </c>
      <c r="O10" s="1" t="str">
        <f t="shared" si="0"/>
        <v/>
      </c>
      <c r="P10" s="1" t="str">
        <f t="shared" si="6"/>
        <v>NULL</v>
      </c>
      <c r="Q10" s="1" t="s">
        <v>113</v>
      </c>
      <c r="R10" s="1"/>
      <c r="S10" s="1" t="str">
        <f>"COMMENT ON COLUMN " &amp; C3 &amp; "." &amp; C10 &amp; " IS '" &amp; B10 &amp; "'"</f>
        <v>COMMENT ON COLUMN TEMPTABLE. IS ''</v>
      </c>
      <c r="X10" s="13" t="s">
        <v>771</v>
      </c>
    </row>
    <row r="11" spans="1:24" x14ac:dyDescent="0.3">
      <c r="A11" s="2"/>
      <c r="B11" s="2"/>
      <c r="C11" s="2"/>
      <c r="D11" s="2"/>
      <c r="E11" s="2"/>
      <c r="F11" s="2"/>
      <c r="G11" s="12" t="s">
        <v>565</v>
      </c>
      <c r="H11" s="12"/>
      <c r="I11" s="1"/>
      <c r="J11" s="1" t="str">
        <f t="shared" si="1"/>
        <v/>
      </c>
      <c r="K11" s="1" t="str">
        <f t="shared" si="2"/>
        <v/>
      </c>
      <c r="L11" s="1" t="str">
        <f t="shared" si="3"/>
        <v/>
      </c>
      <c r="M11" s="1" t="str">
        <f t="shared" si="4"/>
        <v/>
      </c>
      <c r="N11" s="1" t="str">
        <f t="shared" si="5"/>
        <v/>
      </c>
      <c r="O11" s="1" t="str">
        <f t="shared" si="0"/>
        <v/>
      </c>
      <c r="P11" s="1" t="str">
        <f t="shared" si="6"/>
        <v>NULL</v>
      </c>
      <c r="Q11" s="1" t="s">
        <v>113</v>
      </c>
      <c r="R11" s="1"/>
      <c r="S11" s="1" t="str">
        <f>"COMMENT ON COLUMN " &amp; C3 &amp; "." &amp; C11 &amp; " IS '" &amp; B11 &amp; "'"</f>
        <v>COMMENT ON COLUMN TEMPTABLE. IS ''</v>
      </c>
      <c r="X11" s="13" t="s">
        <v>771</v>
      </c>
    </row>
    <row r="12" spans="1:24" x14ac:dyDescent="0.3">
      <c r="A12" s="2"/>
      <c r="B12" s="2"/>
      <c r="C12" s="2"/>
      <c r="D12" s="2"/>
      <c r="E12" s="2"/>
      <c r="F12" s="2"/>
      <c r="G12" s="12" t="s">
        <v>565</v>
      </c>
      <c r="H12" s="12"/>
      <c r="I12" s="1"/>
      <c r="J12" s="1" t="str">
        <f t="shared" si="1"/>
        <v/>
      </c>
      <c r="K12" s="1" t="str">
        <f t="shared" si="2"/>
        <v/>
      </c>
      <c r="L12" s="1" t="str">
        <f t="shared" si="3"/>
        <v/>
      </c>
      <c r="M12" s="1" t="str">
        <f t="shared" si="4"/>
        <v/>
      </c>
      <c r="N12" s="1" t="str">
        <f t="shared" si="5"/>
        <v/>
      </c>
      <c r="O12" s="1" t="str">
        <f t="shared" si="0"/>
        <v/>
      </c>
      <c r="P12" s="1" t="str">
        <f t="shared" si="6"/>
        <v>NULL</v>
      </c>
      <c r="Q12" s="1" t="s">
        <v>113</v>
      </c>
      <c r="R12" s="1"/>
      <c r="S12" s="1" t="str">
        <f>"COMMENT ON COLUMN " &amp; C3 &amp; "." &amp; C12 &amp; " IS '" &amp; B12 &amp; "'"</f>
        <v>COMMENT ON COLUMN TEMPTABLE. IS ''</v>
      </c>
      <c r="X12" s="13" t="s">
        <v>771</v>
      </c>
    </row>
    <row r="13" spans="1:24" x14ac:dyDescent="0.3">
      <c r="A13" s="2"/>
      <c r="B13" s="2"/>
      <c r="C13" s="2"/>
      <c r="D13" s="2"/>
      <c r="E13" s="2"/>
      <c r="F13" s="2"/>
      <c r="G13" s="12" t="s">
        <v>565</v>
      </c>
      <c r="H13" s="12"/>
      <c r="I13" s="1"/>
      <c r="J13" s="1" t="str">
        <f t="shared" si="1"/>
        <v/>
      </c>
      <c r="K13" s="1" t="str">
        <f t="shared" si="2"/>
        <v/>
      </c>
      <c r="L13" s="1" t="str">
        <f t="shared" si="3"/>
        <v/>
      </c>
      <c r="M13" s="1" t="str">
        <f t="shared" si="4"/>
        <v/>
      </c>
      <c r="N13" s="1" t="str">
        <f t="shared" si="5"/>
        <v/>
      </c>
      <c r="O13" s="1" t="str">
        <f t="shared" si="0"/>
        <v/>
      </c>
      <c r="P13" s="1" t="str">
        <f t="shared" si="6"/>
        <v>NULL</v>
      </c>
      <c r="Q13" s="1" t="s">
        <v>113</v>
      </c>
      <c r="R13" s="1"/>
      <c r="S13" s="1" t="str">
        <f>"COMMENT ON COLUMN " &amp; C3 &amp; "." &amp; C13 &amp; " IS '" &amp; B13 &amp; "'"</f>
        <v>COMMENT ON COLUMN TEMPTABLE. IS ''</v>
      </c>
      <c r="X13" s="13" t="s">
        <v>771</v>
      </c>
    </row>
    <row r="14" spans="1:24" x14ac:dyDescent="0.3">
      <c r="A14" s="2"/>
      <c r="B14" s="2"/>
      <c r="C14" s="2"/>
      <c r="D14" s="2"/>
      <c r="E14" s="2"/>
      <c r="F14" s="2"/>
      <c r="G14" s="12" t="s">
        <v>565</v>
      </c>
      <c r="H14" s="12"/>
      <c r="I14" s="1"/>
      <c r="J14" s="1" t="str">
        <f t="shared" si="1"/>
        <v/>
      </c>
      <c r="K14" s="1" t="str">
        <f t="shared" si="2"/>
        <v/>
      </c>
      <c r="L14" s="1" t="str">
        <f t="shared" si="3"/>
        <v/>
      </c>
      <c r="M14" s="1" t="str">
        <f t="shared" si="4"/>
        <v/>
      </c>
      <c r="N14" s="1" t="str">
        <f t="shared" si="5"/>
        <v/>
      </c>
      <c r="O14" s="1" t="str">
        <f t="shared" si="0"/>
        <v/>
      </c>
      <c r="P14" s="1" t="str">
        <f t="shared" si="6"/>
        <v>NULL</v>
      </c>
      <c r="Q14" s="1" t="s">
        <v>113</v>
      </c>
      <c r="R14" s="1"/>
      <c r="S14" s="1" t="str">
        <f>"COMMENT ON COLUMN " &amp; C3 &amp; "." &amp; C14 &amp; " IS '" &amp; B14 &amp; "'"</f>
        <v>COMMENT ON COLUMN TEMPTABLE. IS ''</v>
      </c>
      <c r="X14" s="13" t="s">
        <v>771</v>
      </c>
    </row>
    <row r="15" spans="1:24" x14ac:dyDescent="0.3">
      <c r="A15" s="2"/>
      <c r="B15" s="2"/>
      <c r="C15" s="2"/>
      <c r="D15" s="2"/>
      <c r="E15" s="2"/>
      <c r="F15" s="2"/>
      <c r="G15" s="12" t="s">
        <v>565</v>
      </c>
      <c r="H15" s="12"/>
      <c r="I15" s="1"/>
      <c r="J15" s="1" t="str">
        <f t="shared" si="1"/>
        <v/>
      </c>
      <c r="K15" s="1" t="str">
        <f t="shared" si="2"/>
        <v/>
      </c>
      <c r="L15" s="1" t="str">
        <f t="shared" si="3"/>
        <v/>
      </c>
      <c r="M15" s="1" t="str">
        <f t="shared" si="4"/>
        <v/>
      </c>
      <c r="N15" s="1" t="str">
        <f t="shared" si="5"/>
        <v/>
      </c>
      <c r="O15" s="1" t="str">
        <f t="shared" si="0"/>
        <v/>
      </c>
      <c r="P15" s="1" t="str">
        <f t="shared" si="6"/>
        <v>NULL</v>
      </c>
      <c r="Q15" s="1" t="s">
        <v>113</v>
      </c>
      <c r="R15" s="1"/>
      <c r="S15" s="1" t="str">
        <f>"COMMENT ON COLUMN " &amp; C3 &amp; "." &amp; C15 &amp; " IS '" &amp; B15 &amp; "'"</f>
        <v>COMMENT ON COLUMN TEMPTABLE. IS ''</v>
      </c>
      <c r="X15" s="13" t="s">
        <v>771</v>
      </c>
    </row>
    <row r="16" spans="1:24" x14ac:dyDescent="0.3">
      <c r="A16" s="2"/>
      <c r="B16" s="2"/>
      <c r="C16" s="2"/>
      <c r="D16" s="2"/>
      <c r="E16" s="2"/>
      <c r="F16" s="2"/>
      <c r="G16" s="12" t="s">
        <v>565</v>
      </c>
      <c r="H16" s="12"/>
      <c r="I16" s="1"/>
      <c r="J16" s="1" t="str">
        <f t="shared" si="1"/>
        <v/>
      </c>
      <c r="K16" s="1" t="str">
        <f t="shared" si="2"/>
        <v/>
      </c>
      <c r="L16" s="1" t="str">
        <f t="shared" si="3"/>
        <v/>
      </c>
      <c r="M16" s="1" t="str">
        <f t="shared" si="4"/>
        <v/>
      </c>
      <c r="N16" s="1" t="str">
        <f t="shared" si="5"/>
        <v/>
      </c>
      <c r="O16" s="1" t="str">
        <f t="shared" si="0"/>
        <v/>
      </c>
      <c r="P16" s="1" t="str">
        <f t="shared" si="6"/>
        <v>NULL</v>
      </c>
      <c r="Q16" s="1" t="s">
        <v>113</v>
      </c>
      <c r="R16" s="1"/>
      <c r="S16" s="1" t="str">
        <f>"COMMENT ON COLUMN " &amp; C3 &amp; "." &amp; C16 &amp; " IS '" &amp; B16 &amp; "'"</f>
        <v>COMMENT ON COLUMN TEMPTABLE. IS ''</v>
      </c>
      <c r="X16" s="13" t="s">
        <v>771</v>
      </c>
    </row>
    <row r="17" spans="1:24" x14ac:dyDescent="0.3">
      <c r="A17" s="2"/>
      <c r="B17" s="2"/>
      <c r="C17" s="2"/>
      <c r="D17" s="2"/>
      <c r="E17" s="2"/>
      <c r="F17" s="2"/>
      <c r="G17" s="12" t="s">
        <v>565</v>
      </c>
      <c r="H17" s="12"/>
      <c r="I17" s="1"/>
      <c r="J17" s="1" t="str">
        <f t="shared" si="1"/>
        <v/>
      </c>
      <c r="K17" s="1" t="str">
        <f t="shared" si="2"/>
        <v/>
      </c>
      <c r="L17" s="1" t="str">
        <f t="shared" si="3"/>
        <v/>
      </c>
      <c r="M17" s="1" t="str">
        <f t="shared" si="4"/>
        <v/>
      </c>
      <c r="N17" s="1" t="str">
        <f t="shared" si="5"/>
        <v/>
      </c>
      <c r="O17" s="1" t="str">
        <f t="shared" si="0"/>
        <v/>
      </c>
      <c r="P17" s="1" t="str">
        <f t="shared" si="6"/>
        <v>NULL</v>
      </c>
      <c r="Q17" s="1" t="s">
        <v>113</v>
      </c>
      <c r="R17" s="1"/>
      <c r="S17" s="1" t="str">
        <f>"COMMENT ON COLUMN " &amp; C3 &amp; "." &amp; C17 &amp; " IS '" &amp; B17 &amp; "'"</f>
        <v>COMMENT ON COLUMN TEMPTABLE. IS ''</v>
      </c>
      <c r="X17" s="13" t="s">
        <v>771</v>
      </c>
    </row>
    <row r="18" spans="1:24" x14ac:dyDescent="0.3">
      <c r="A18" s="2"/>
      <c r="B18" s="2"/>
      <c r="C18" s="2"/>
      <c r="D18" s="2"/>
      <c r="E18" s="2"/>
      <c r="F18" s="2"/>
      <c r="G18" s="12" t="s">
        <v>565</v>
      </c>
      <c r="H18" s="12"/>
      <c r="I18" s="1"/>
      <c r="J18" s="1" t="str">
        <f t="shared" si="1"/>
        <v/>
      </c>
      <c r="K18" s="1" t="str">
        <f t="shared" si="2"/>
        <v/>
      </c>
      <c r="L18" s="1" t="str">
        <f t="shared" si="3"/>
        <v/>
      </c>
      <c r="M18" s="1" t="str">
        <f t="shared" si="4"/>
        <v/>
      </c>
      <c r="N18" s="1" t="str">
        <f t="shared" si="5"/>
        <v/>
      </c>
      <c r="O18" s="1" t="str">
        <f t="shared" si="0"/>
        <v/>
      </c>
      <c r="P18" s="1" t="str">
        <f t="shared" si="6"/>
        <v>NULL</v>
      </c>
      <c r="Q18" s="1" t="s">
        <v>113</v>
      </c>
      <c r="R18" s="1"/>
      <c r="S18" s="1" t="str">
        <f>"COMMENT ON COLUMN " &amp; C3 &amp; "." &amp; C18 &amp; " IS '" &amp; B18 &amp; "'"</f>
        <v>COMMENT ON COLUMN TEMPTABLE. IS ''</v>
      </c>
      <c r="X18" s="13" t="s">
        <v>771</v>
      </c>
    </row>
    <row r="19" spans="1:24" x14ac:dyDescent="0.3">
      <c r="A19" s="12"/>
      <c r="B19" s="2"/>
      <c r="C19" s="12"/>
      <c r="D19" s="2"/>
      <c r="E19" s="2"/>
      <c r="F19" s="2"/>
      <c r="G19" s="12" t="s">
        <v>565</v>
      </c>
      <c r="H19" s="12"/>
      <c r="I19" s="1"/>
      <c r="J19" s="1" t="str">
        <f t="shared" ref="J19:J24" si="7">""&amp;C19&amp;""</f>
        <v/>
      </c>
      <c r="K19" s="1" t="str">
        <f t="shared" ref="K19:K24" si="8">""&amp;E19&amp;""</f>
        <v/>
      </c>
      <c r="L19" s="1" t="str">
        <f t="shared" ref="L19:L24" si="9">IF(F19="","","(")</f>
        <v/>
      </c>
      <c r="M19" s="1" t="str">
        <f t="shared" ref="M19:M24" si="10">IF(F19="","",F19)</f>
        <v/>
      </c>
      <c r="N19" s="1" t="str">
        <f t="shared" ref="N19:N24" si="11">IF(F19="","",")")</f>
        <v/>
      </c>
      <c r="O19" s="1" t="str">
        <f t="shared" si="0"/>
        <v/>
      </c>
      <c r="P19" s="1" t="str">
        <f t="shared" ref="P19:P30" si="12">IF(G19="N","NOT NULL","NULL")</f>
        <v>NULL</v>
      </c>
      <c r="Q19" s="1" t="s">
        <v>113</v>
      </c>
      <c r="R19" s="1"/>
      <c r="S19" s="1" t="str">
        <f>"COMMENT ON COLUMN " &amp; C3 &amp; "." &amp; C19 &amp; " IS '" &amp; B19 &amp; "'"</f>
        <v>COMMENT ON COLUMN TEMPTABLE. IS ''</v>
      </c>
      <c r="X19" s="13" t="s">
        <v>771</v>
      </c>
    </row>
    <row r="20" spans="1:24" x14ac:dyDescent="0.3">
      <c r="A20" s="2"/>
      <c r="B20" s="2"/>
      <c r="C20" s="2"/>
      <c r="D20" s="2"/>
      <c r="E20" s="2"/>
      <c r="F20" s="2"/>
      <c r="G20" s="12" t="s">
        <v>565</v>
      </c>
      <c r="H20" s="12"/>
      <c r="I20" s="1"/>
      <c r="J20" s="1" t="str">
        <f t="shared" si="7"/>
        <v/>
      </c>
      <c r="K20" s="1" t="str">
        <f t="shared" si="8"/>
        <v/>
      </c>
      <c r="L20" s="1" t="str">
        <f t="shared" si="9"/>
        <v/>
      </c>
      <c r="M20" s="1" t="str">
        <f t="shared" si="10"/>
        <v/>
      </c>
      <c r="N20" s="1" t="str">
        <f t="shared" si="11"/>
        <v/>
      </c>
      <c r="O20" s="1" t="str">
        <f t="shared" si="0"/>
        <v/>
      </c>
      <c r="P20" s="1" t="str">
        <f t="shared" si="12"/>
        <v>NULL</v>
      </c>
      <c r="Q20" s="1" t="s">
        <v>113</v>
      </c>
      <c r="R20" s="1"/>
      <c r="S20" s="1" t="str">
        <f>"COMMENT ON COLUMN " &amp; C3 &amp; "." &amp; C20 &amp; " IS '" &amp; B20 &amp; "'"</f>
        <v>COMMENT ON COLUMN TEMPTABLE. IS ''</v>
      </c>
      <c r="X20" s="13" t="s">
        <v>771</v>
      </c>
    </row>
    <row r="21" spans="1:24" x14ac:dyDescent="0.3">
      <c r="A21" s="2"/>
      <c r="B21" s="2"/>
      <c r="C21" s="2"/>
      <c r="D21" s="2"/>
      <c r="E21" s="2"/>
      <c r="F21" s="2"/>
      <c r="G21" s="12" t="s">
        <v>565</v>
      </c>
      <c r="H21" s="12"/>
      <c r="I21" s="1"/>
      <c r="J21" s="1" t="str">
        <f t="shared" si="7"/>
        <v/>
      </c>
      <c r="K21" s="1" t="str">
        <f t="shared" si="8"/>
        <v/>
      </c>
      <c r="L21" s="1" t="str">
        <f t="shared" si="9"/>
        <v/>
      </c>
      <c r="M21" s="1" t="str">
        <f t="shared" si="10"/>
        <v/>
      </c>
      <c r="N21" s="1" t="str">
        <f t="shared" si="11"/>
        <v/>
      </c>
      <c r="O21" s="1" t="str">
        <f t="shared" si="0"/>
        <v/>
      </c>
      <c r="P21" s="1" t="str">
        <f t="shared" si="12"/>
        <v>NULL</v>
      </c>
      <c r="Q21" s="1" t="s">
        <v>113</v>
      </c>
      <c r="R21" s="1"/>
      <c r="S21" s="1" t="str">
        <f>"COMMENT ON COLUMN " &amp; C3 &amp; "." &amp; C21 &amp; " IS '" &amp; B21 &amp; "'"</f>
        <v>COMMENT ON COLUMN TEMPTABLE. IS ''</v>
      </c>
      <c r="X21" s="13" t="s">
        <v>771</v>
      </c>
    </row>
    <row r="22" spans="1:24" x14ac:dyDescent="0.3">
      <c r="A22" s="2"/>
      <c r="B22" s="2"/>
      <c r="C22" s="2"/>
      <c r="D22" s="2"/>
      <c r="E22" s="2"/>
      <c r="F22" s="2"/>
      <c r="G22" s="12" t="s">
        <v>565</v>
      </c>
      <c r="H22" s="12"/>
      <c r="I22" s="1"/>
      <c r="J22" s="1" t="str">
        <f t="shared" si="7"/>
        <v/>
      </c>
      <c r="K22" s="1" t="str">
        <f t="shared" si="8"/>
        <v/>
      </c>
      <c r="L22" s="1" t="str">
        <f t="shared" si="9"/>
        <v/>
      </c>
      <c r="M22" s="1" t="str">
        <f t="shared" si="10"/>
        <v/>
      </c>
      <c r="N22" s="1" t="str">
        <f t="shared" si="11"/>
        <v/>
      </c>
      <c r="O22" s="1" t="str">
        <f t="shared" si="0"/>
        <v/>
      </c>
      <c r="P22" s="1" t="str">
        <f t="shared" si="12"/>
        <v>NULL</v>
      </c>
      <c r="Q22" s="1" t="s">
        <v>113</v>
      </c>
      <c r="R22" s="1"/>
      <c r="S22" s="1" t="str">
        <f>"COMMENT ON COLUMN " &amp; C3 &amp; "." &amp; C22 &amp; " IS '" &amp; B22 &amp; "'"</f>
        <v>COMMENT ON COLUMN TEMPTABLE. IS ''</v>
      </c>
      <c r="X22" s="13" t="s">
        <v>771</v>
      </c>
    </row>
    <row r="23" spans="1:24" x14ac:dyDescent="0.3">
      <c r="A23" s="2"/>
      <c r="B23" s="2"/>
      <c r="C23" s="2"/>
      <c r="D23" s="2"/>
      <c r="E23" s="2"/>
      <c r="F23" s="2"/>
      <c r="G23" s="12" t="s">
        <v>565</v>
      </c>
      <c r="H23" s="12"/>
      <c r="I23" s="1"/>
      <c r="J23" s="1" t="str">
        <f t="shared" si="7"/>
        <v/>
      </c>
      <c r="K23" s="1" t="str">
        <f t="shared" si="8"/>
        <v/>
      </c>
      <c r="L23" s="1" t="str">
        <f t="shared" si="9"/>
        <v/>
      </c>
      <c r="M23" s="1" t="str">
        <f t="shared" si="10"/>
        <v/>
      </c>
      <c r="N23" s="1" t="str">
        <f t="shared" si="11"/>
        <v/>
      </c>
      <c r="O23" s="1" t="str">
        <f t="shared" si="0"/>
        <v/>
      </c>
      <c r="P23" s="1" t="str">
        <f t="shared" si="12"/>
        <v>NULL</v>
      </c>
      <c r="Q23" s="1" t="s">
        <v>113</v>
      </c>
      <c r="R23" s="1"/>
      <c r="S23" s="1" t="str">
        <f>"COMMENT ON COLUMN " &amp; C3 &amp; "." &amp; C23 &amp; " IS '" &amp; B23 &amp; "'"</f>
        <v>COMMENT ON COLUMN TEMPTABLE. IS ''</v>
      </c>
      <c r="X23" s="13" t="s">
        <v>771</v>
      </c>
    </row>
    <row r="24" spans="1:24" x14ac:dyDescent="0.3">
      <c r="A24" s="2"/>
      <c r="B24" s="2"/>
      <c r="C24" s="2"/>
      <c r="D24" s="2"/>
      <c r="E24" s="2"/>
      <c r="F24" s="2"/>
      <c r="G24" s="12" t="s">
        <v>565</v>
      </c>
      <c r="H24" s="12"/>
      <c r="I24" s="1"/>
      <c r="J24" s="1" t="str">
        <f t="shared" si="7"/>
        <v/>
      </c>
      <c r="K24" s="1" t="str">
        <f t="shared" si="8"/>
        <v/>
      </c>
      <c r="L24" s="1" t="str">
        <f t="shared" si="9"/>
        <v/>
      </c>
      <c r="M24" s="1" t="str">
        <f t="shared" si="10"/>
        <v/>
      </c>
      <c r="N24" s="1" t="str">
        <f t="shared" si="11"/>
        <v/>
      </c>
      <c r="O24" s="1" t="str">
        <f t="shared" si="0"/>
        <v/>
      </c>
      <c r="P24" s="1" t="str">
        <f t="shared" si="12"/>
        <v>NULL</v>
      </c>
      <c r="Q24" s="1" t="s">
        <v>113</v>
      </c>
      <c r="R24" s="1"/>
      <c r="S24" s="1" t="str">
        <f>"COMMENT ON COLUMN " &amp; C3 &amp; "." &amp; C24 &amp; " IS '" &amp; B24 &amp; "'"</f>
        <v>COMMENT ON COLUMN TEMPTABLE. IS ''</v>
      </c>
      <c r="X24" s="13" t="s">
        <v>771</v>
      </c>
    </row>
    <row r="25" spans="1:24" x14ac:dyDescent="0.3">
      <c r="A25" s="2"/>
      <c r="B25" s="2"/>
      <c r="C25" s="2"/>
      <c r="D25" s="2"/>
      <c r="E25" s="2"/>
      <c r="F25" s="2"/>
      <c r="G25" s="12" t="s">
        <v>565</v>
      </c>
      <c r="H25" s="12"/>
      <c r="I25" s="1"/>
      <c r="J25" s="1" t="str">
        <f t="shared" ref="J25:J30" si="13">""&amp;C25&amp;""</f>
        <v/>
      </c>
      <c r="K25" s="1" t="str">
        <f t="shared" ref="K25:K30" si="14">""&amp;E25&amp;""</f>
        <v/>
      </c>
      <c r="L25" s="1" t="str">
        <f t="shared" ref="L25:L30" si="15">IF(F25="","","(")</f>
        <v/>
      </c>
      <c r="M25" s="1" t="str">
        <f t="shared" ref="M25:M30" si="16">IF(F25="","",F25)</f>
        <v/>
      </c>
      <c r="N25" s="1" t="str">
        <f t="shared" ref="N25:N30" si="17">IF(F25="","",")")</f>
        <v/>
      </c>
      <c r="O25" s="1" t="str">
        <f t="shared" si="0"/>
        <v/>
      </c>
      <c r="P25" s="1" t="str">
        <f t="shared" si="12"/>
        <v>NULL</v>
      </c>
      <c r="Q25" s="1" t="s">
        <v>113</v>
      </c>
      <c r="R25" s="1"/>
      <c r="S25" s="1" t="str">
        <f>"COMMENT ON COLUMN " &amp; C3 &amp; "." &amp; C25 &amp; " IS '" &amp; B25 &amp; "'"</f>
        <v>COMMENT ON COLUMN TEMPTABLE. IS ''</v>
      </c>
      <c r="X25" s="13" t="s">
        <v>771</v>
      </c>
    </row>
    <row r="26" spans="1:24" x14ac:dyDescent="0.3">
      <c r="A26" s="2"/>
      <c r="B26" s="2"/>
      <c r="C26" s="2"/>
      <c r="D26" s="2"/>
      <c r="E26" s="2"/>
      <c r="F26" s="2"/>
      <c r="G26" s="12" t="s">
        <v>565</v>
      </c>
      <c r="H26" s="12"/>
      <c r="I26" s="1"/>
      <c r="J26" s="1" t="str">
        <f t="shared" si="13"/>
        <v/>
      </c>
      <c r="K26" s="1" t="str">
        <f t="shared" si="14"/>
        <v/>
      </c>
      <c r="L26" s="1" t="str">
        <f t="shared" si="15"/>
        <v/>
      </c>
      <c r="M26" s="1" t="str">
        <f t="shared" si="16"/>
        <v/>
      </c>
      <c r="N26" s="1" t="str">
        <f t="shared" si="17"/>
        <v/>
      </c>
      <c r="O26" s="1" t="str">
        <f t="shared" si="0"/>
        <v/>
      </c>
      <c r="P26" s="1" t="str">
        <f t="shared" si="12"/>
        <v>NULL</v>
      </c>
      <c r="Q26" s="1" t="s">
        <v>113</v>
      </c>
      <c r="R26" s="1"/>
      <c r="S26" s="1" t="str">
        <f>"COMMENT ON COLUMN " &amp; C3 &amp; "." &amp; C26 &amp; " IS '" &amp; B26 &amp; "'"</f>
        <v>COMMENT ON COLUMN TEMPTABLE. IS ''</v>
      </c>
      <c r="X26" s="13" t="s">
        <v>771</v>
      </c>
    </row>
    <row r="27" spans="1:24" x14ac:dyDescent="0.3">
      <c r="A27" s="2"/>
      <c r="B27" s="2"/>
      <c r="C27" s="2"/>
      <c r="D27" s="2"/>
      <c r="E27" s="2"/>
      <c r="F27" s="2"/>
      <c r="G27" s="12" t="s">
        <v>565</v>
      </c>
      <c r="H27" s="12"/>
      <c r="I27" s="1"/>
      <c r="J27" s="1" t="str">
        <f t="shared" si="13"/>
        <v/>
      </c>
      <c r="K27" s="1" t="str">
        <f t="shared" si="14"/>
        <v/>
      </c>
      <c r="L27" s="1" t="str">
        <f t="shared" si="15"/>
        <v/>
      </c>
      <c r="M27" s="1" t="str">
        <f t="shared" si="16"/>
        <v/>
      </c>
      <c r="N27" s="1" t="str">
        <f t="shared" si="17"/>
        <v/>
      </c>
      <c r="O27" s="1" t="str">
        <f t="shared" si="0"/>
        <v/>
      </c>
      <c r="P27" s="1" t="str">
        <f t="shared" si="12"/>
        <v>NULL</v>
      </c>
      <c r="Q27" s="1" t="s">
        <v>113</v>
      </c>
      <c r="R27" s="1"/>
      <c r="S27" s="1" t="str">
        <f>"COMMENT ON COLUMN " &amp; C3 &amp; "." &amp; C27 &amp; " IS '" &amp; B27 &amp; "'"</f>
        <v>COMMENT ON COLUMN TEMPTABLE. IS ''</v>
      </c>
      <c r="X27" s="13" t="s">
        <v>771</v>
      </c>
    </row>
    <row r="28" spans="1:24" x14ac:dyDescent="0.3">
      <c r="A28" s="2"/>
      <c r="B28" s="2"/>
      <c r="C28" s="2"/>
      <c r="D28" s="2"/>
      <c r="E28" s="2"/>
      <c r="F28" s="2"/>
      <c r="G28" s="12" t="s">
        <v>565</v>
      </c>
      <c r="H28" s="12"/>
      <c r="I28" s="1"/>
      <c r="J28" s="1" t="str">
        <f t="shared" si="13"/>
        <v/>
      </c>
      <c r="K28" s="1" t="str">
        <f t="shared" si="14"/>
        <v/>
      </c>
      <c r="L28" s="1" t="str">
        <f t="shared" si="15"/>
        <v/>
      </c>
      <c r="M28" s="1" t="str">
        <f t="shared" si="16"/>
        <v/>
      </c>
      <c r="N28" s="1" t="str">
        <f t="shared" si="17"/>
        <v/>
      </c>
      <c r="O28" s="1" t="str">
        <f t="shared" si="0"/>
        <v/>
      </c>
      <c r="P28" s="1" t="str">
        <f t="shared" si="12"/>
        <v>NULL</v>
      </c>
      <c r="Q28" s="1" t="s">
        <v>113</v>
      </c>
      <c r="R28" s="1"/>
      <c r="S28" s="1" t="str">
        <f>"COMMENT ON COLUMN " &amp; C3 &amp; "." &amp; C28 &amp; " IS '" &amp; B28 &amp; "'"</f>
        <v>COMMENT ON COLUMN TEMPTABLE. IS ''</v>
      </c>
      <c r="X28" s="13" t="s">
        <v>771</v>
      </c>
    </row>
    <row r="29" spans="1:24" x14ac:dyDescent="0.3">
      <c r="A29" s="2"/>
      <c r="B29" s="2"/>
      <c r="C29" s="2"/>
      <c r="D29" s="2"/>
      <c r="E29" s="2"/>
      <c r="F29" s="2"/>
      <c r="G29" s="12" t="s">
        <v>565</v>
      </c>
      <c r="H29" s="12"/>
      <c r="I29" s="1"/>
      <c r="J29" s="1" t="str">
        <f t="shared" si="13"/>
        <v/>
      </c>
      <c r="K29" s="1" t="str">
        <f t="shared" si="14"/>
        <v/>
      </c>
      <c r="L29" s="1" t="str">
        <f t="shared" si="15"/>
        <v/>
      </c>
      <c r="M29" s="1" t="str">
        <f t="shared" si="16"/>
        <v/>
      </c>
      <c r="N29" s="1" t="str">
        <f t="shared" si="17"/>
        <v/>
      </c>
      <c r="O29" s="1" t="str">
        <f t="shared" si="0"/>
        <v/>
      </c>
      <c r="P29" s="1" t="str">
        <f t="shared" si="12"/>
        <v>NULL</v>
      </c>
      <c r="Q29" s="1" t="s">
        <v>113</v>
      </c>
      <c r="R29" s="1"/>
      <c r="S29" s="1" t="str">
        <f>"COMMENT ON COLUMN " &amp; C3 &amp; "." &amp; C29 &amp; " IS '" &amp; B29 &amp; "'"</f>
        <v>COMMENT ON COLUMN TEMPTABLE. IS ''</v>
      </c>
      <c r="X29" s="13" t="s">
        <v>771</v>
      </c>
    </row>
    <row r="30" spans="1:24" x14ac:dyDescent="0.3">
      <c r="A30" s="2"/>
      <c r="B30" s="2"/>
      <c r="C30" s="2"/>
      <c r="D30" s="2"/>
      <c r="E30" s="2"/>
      <c r="F30" s="2"/>
      <c r="G30" s="12" t="s">
        <v>565</v>
      </c>
      <c r="H30" s="12"/>
      <c r="I30" s="1"/>
      <c r="J30" s="1" t="str">
        <f t="shared" si="13"/>
        <v/>
      </c>
      <c r="K30" s="1" t="str">
        <f t="shared" si="14"/>
        <v/>
      </c>
      <c r="L30" s="1" t="str">
        <f t="shared" si="15"/>
        <v/>
      </c>
      <c r="M30" s="1" t="str">
        <f t="shared" si="16"/>
        <v/>
      </c>
      <c r="N30" s="1" t="str">
        <f t="shared" si="17"/>
        <v/>
      </c>
      <c r="O30" s="1" t="str">
        <f t="shared" si="0"/>
        <v/>
      </c>
      <c r="P30" s="1" t="str">
        <f t="shared" si="12"/>
        <v>NULL</v>
      </c>
      <c r="Q30" s="1" t="s">
        <v>113</v>
      </c>
      <c r="R30" s="1"/>
      <c r="S30" s="1" t="str">
        <f>"COMMENT ON COLUMN " &amp; C3 &amp; "." &amp; C30 &amp; " IS '" &amp; B30 &amp; "'"</f>
        <v>COMMENT ON COLUMN TEMPTABLE. IS ''</v>
      </c>
      <c r="X30" s="13" t="s">
        <v>771</v>
      </c>
    </row>
    <row r="31" spans="1:24" x14ac:dyDescent="0.3">
      <c r="A31" s="12"/>
      <c r="B31" s="2"/>
      <c r="C31" s="12"/>
      <c r="D31" s="2"/>
      <c r="E31" s="2"/>
      <c r="F31" s="2"/>
      <c r="G31" s="12" t="s">
        <v>565</v>
      </c>
      <c r="H31" s="12"/>
      <c r="I31" s="1"/>
      <c r="J31" s="1" t="str">
        <f t="shared" ref="J31:J36" si="18">""&amp;C31&amp;""</f>
        <v/>
      </c>
      <c r="K31" s="1" t="str">
        <f t="shared" ref="K31:K36" si="19">""&amp;E31&amp;""</f>
        <v/>
      </c>
      <c r="L31" s="1" t="str">
        <f t="shared" ref="L31:L36" si="20">IF(F31="","","(")</f>
        <v/>
      </c>
      <c r="M31" s="1" t="str">
        <f t="shared" ref="M31:M36" si="21">IF(F31="","",F31)</f>
        <v/>
      </c>
      <c r="N31" s="1" t="str">
        <f t="shared" ref="N31:N36" si="22">IF(F31="","",")")</f>
        <v/>
      </c>
      <c r="O31" s="1" t="str">
        <f t="shared" si="0"/>
        <v/>
      </c>
      <c r="P31" s="1" t="str">
        <f t="shared" ref="P31:P36" si="23">IF(G31="N","NOT NULL","NULL")</f>
        <v>NULL</v>
      </c>
      <c r="Q31" s="1" t="s">
        <v>113</v>
      </c>
      <c r="R31" s="1"/>
      <c r="S31" s="1" t="str">
        <f>"COMMENT ON COLUMN " &amp; C3 &amp; "." &amp; C31 &amp; " IS '" &amp; B31 &amp; "'"</f>
        <v>COMMENT ON COLUMN TEMPTABLE. IS ''</v>
      </c>
      <c r="X31" s="13" t="s">
        <v>771</v>
      </c>
    </row>
    <row r="32" spans="1:24" x14ac:dyDescent="0.3">
      <c r="A32" s="2"/>
      <c r="B32" s="2"/>
      <c r="C32" s="2"/>
      <c r="D32" s="2"/>
      <c r="E32" s="2"/>
      <c r="F32" s="2"/>
      <c r="G32" s="12" t="s">
        <v>565</v>
      </c>
      <c r="H32" s="12"/>
      <c r="I32" s="1"/>
      <c r="J32" s="1" t="str">
        <f t="shared" si="18"/>
        <v/>
      </c>
      <c r="K32" s="1" t="str">
        <f t="shared" si="19"/>
        <v/>
      </c>
      <c r="L32" s="1" t="str">
        <f t="shared" si="20"/>
        <v/>
      </c>
      <c r="M32" s="1" t="str">
        <f t="shared" si="21"/>
        <v/>
      </c>
      <c r="N32" s="1" t="str">
        <f t="shared" si="22"/>
        <v/>
      </c>
      <c r="O32" s="1" t="str">
        <f t="shared" si="0"/>
        <v/>
      </c>
      <c r="P32" s="1" t="str">
        <f t="shared" si="23"/>
        <v>NULL</v>
      </c>
      <c r="Q32" s="1" t="s">
        <v>113</v>
      </c>
      <c r="R32" s="1"/>
      <c r="S32" s="1" t="str">
        <f>"COMMENT ON COLUMN " &amp; C3 &amp; "." &amp; C32 &amp; " IS '" &amp; B32 &amp; "'"</f>
        <v>COMMENT ON COLUMN TEMPTABLE. IS ''</v>
      </c>
      <c r="X32" s="13" t="s">
        <v>771</v>
      </c>
    </row>
    <row r="33" spans="1:24" x14ac:dyDescent="0.3">
      <c r="A33" s="2"/>
      <c r="B33" s="2"/>
      <c r="C33" s="2"/>
      <c r="D33" s="2"/>
      <c r="E33" s="2"/>
      <c r="F33" s="2"/>
      <c r="G33" s="12" t="s">
        <v>565</v>
      </c>
      <c r="H33" s="12"/>
      <c r="I33" s="1"/>
      <c r="J33" s="1" t="str">
        <f t="shared" si="18"/>
        <v/>
      </c>
      <c r="K33" s="1" t="str">
        <f t="shared" si="19"/>
        <v/>
      </c>
      <c r="L33" s="1" t="str">
        <f t="shared" si="20"/>
        <v/>
      </c>
      <c r="M33" s="1" t="str">
        <f t="shared" si="21"/>
        <v/>
      </c>
      <c r="N33" s="1" t="str">
        <f t="shared" si="22"/>
        <v/>
      </c>
      <c r="O33" s="1" t="str">
        <f t="shared" si="0"/>
        <v/>
      </c>
      <c r="P33" s="1" t="str">
        <f t="shared" si="23"/>
        <v>NULL</v>
      </c>
      <c r="Q33" s="1" t="s">
        <v>113</v>
      </c>
      <c r="R33" s="1"/>
      <c r="S33" s="1" t="str">
        <f>"COMMENT ON COLUMN " &amp; C3 &amp; "." &amp; C33 &amp; " IS '" &amp; B33 &amp; "'"</f>
        <v>COMMENT ON COLUMN TEMPTABLE. IS ''</v>
      </c>
      <c r="X33" s="13" t="s">
        <v>771</v>
      </c>
    </row>
    <row r="34" spans="1:24" x14ac:dyDescent="0.3">
      <c r="A34" s="2"/>
      <c r="B34" s="2"/>
      <c r="C34" s="2"/>
      <c r="D34" s="2"/>
      <c r="E34" s="2"/>
      <c r="F34" s="2"/>
      <c r="G34" s="12" t="s">
        <v>565</v>
      </c>
      <c r="H34" s="12"/>
      <c r="I34" s="1"/>
      <c r="J34" s="1" t="str">
        <f t="shared" si="18"/>
        <v/>
      </c>
      <c r="K34" s="1" t="str">
        <f t="shared" si="19"/>
        <v/>
      </c>
      <c r="L34" s="1" t="str">
        <f t="shared" si="20"/>
        <v/>
      </c>
      <c r="M34" s="1" t="str">
        <f t="shared" si="21"/>
        <v/>
      </c>
      <c r="N34" s="1" t="str">
        <f t="shared" si="22"/>
        <v/>
      </c>
      <c r="O34" s="1" t="str">
        <f t="shared" si="0"/>
        <v/>
      </c>
      <c r="P34" s="1" t="str">
        <f t="shared" si="23"/>
        <v>NULL</v>
      </c>
      <c r="Q34" s="1" t="s">
        <v>113</v>
      </c>
      <c r="R34" s="1"/>
      <c r="S34" s="1" t="str">
        <f>"COMMENT ON COLUMN " &amp; C3 &amp; "." &amp; C34 &amp; " IS '" &amp; B34 &amp; "'"</f>
        <v>COMMENT ON COLUMN TEMPTABLE. IS ''</v>
      </c>
      <c r="X34" s="13" t="s">
        <v>771</v>
      </c>
    </row>
    <row r="35" spans="1:24" x14ac:dyDescent="0.3">
      <c r="A35" s="2"/>
      <c r="B35" s="2"/>
      <c r="C35" s="2"/>
      <c r="D35" s="2"/>
      <c r="E35" s="2"/>
      <c r="F35" s="2"/>
      <c r="G35" s="12" t="s">
        <v>565</v>
      </c>
      <c r="H35" s="12"/>
      <c r="I35" s="1"/>
      <c r="J35" s="1" t="str">
        <f t="shared" si="18"/>
        <v/>
      </c>
      <c r="K35" s="1" t="str">
        <f t="shared" si="19"/>
        <v/>
      </c>
      <c r="L35" s="1" t="str">
        <f t="shared" si="20"/>
        <v/>
      </c>
      <c r="M35" s="1" t="str">
        <f t="shared" si="21"/>
        <v/>
      </c>
      <c r="N35" s="1" t="str">
        <f t="shared" si="22"/>
        <v/>
      </c>
      <c r="O35" s="1" t="str">
        <f t="shared" si="0"/>
        <v/>
      </c>
      <c r="P35" s="1" t="str">
        <f t="shared" si="23"/>
        <v>NULL</v>
      </c>
      <c r="Q35" s="1" t="s">
        <v>113</v>
      </c>
      <c r="R35" s="1"/>
      <c r="S35" s="1" t="str">
        <f>"COMMENT ON COLUMN " &amp; C3 &amp; "." &amp; C35 &amp; " IS '" &amp; B35 &amp; "'"</f>
        <v>COMMENT ON COLUMN TEMPTABLE. IS ''</v>
      </c>
      <c r="X35" s="13" t="s">
        <v>771</v>
      </c>
    </row>
    <row r="36" spans="1:24" x14ac:dyDescent="0.3">
      <c r="A36" s="2"/>
      <c r="B36" s="2"/>
      <c r="C36" s="2"/>
      <c r="D36" s="2"/>
      <c r="E36" s="2"/>
      <c r="F36" s="2"/>
      <c r="G36" s="12" t="s">
        <v>565</v>
      </c>
      <c r="H36" s="12"/>
      <c r="I36" s="1"/>
      <c r="J36" s="1" t="str">
        <f t="shared" si="18"/>
        <v/>
      </c>
      <c r="K36" s="1" t="str">
        <f t="shared" si="19"/>
        <v/>
      </c>
      <c r="L36" s="1" t="str">
        <f t="shared" si="20"/>
        <v/>
      </c>
      <c r="M36" s="1" t="str">
        <f t="shared" si="21"/>
        <v/>
      </c>
      <c r="N36" s="1" t="str">
        <f t="shared" si="22"/>
        <v/>
      </c>
      <c r="O36" s="1" t="str">
        <f t="shared" si="0"/>
        <v/>
      </c>
      <c r="P36" s="1" t="str">
        <f t="shared" si="23"/>
        <v>NULL</v>
      </c>
      <c r="Q36" s="1" t="s">
        <v>113</v>
      </c>
      <c r="R36" s="1"/>
      <c r="S36" s="1" t="str">
        <f>"COMMENT ON COLUMN " &amp; C3 &amp; "." &amp; C36 &amp; " IS '" &amp; B36 &amp; "'"</f>
        <v>COMMENT ON COLUMN TEMPTABLE. IS ''</v>
      </c>
      <c r="X36" s="13" t="s">
        <v>771</v>
      </c>
    </row>
    <row r="37" spans="1:24" x14ac:dyDescent="0.3">
      <c r="A37" s="2"/>
      <c r="B37" s="2"/>
      <c r="C37" s="2"/>
      <c r="D37" s="2"/>
      <c r="E37" s="2"/>
      <c r="F37" s="2"/>
      <c r="G37" s="12" t="s">
        <v>565</v>
      </c>
      <c r="H37" s="12"/>
      <c r="I37" s="1"/>
      <c r="J37" s="1" t="str">
        <f t="shared" ref="J37:J46" si="24">""&amp;C37&amp;""</f>
        <v/>
      </c>
      <c r="K37" s="1" t="str">
        <f t="shared" ref="K37:K46" si="25">""&amp;E37&amp;""</f>
        <v/>
      </c>
      <c r="L37" s="1" t="str">
        <f t="shared" ref="L37:L46" si="26">IF(F37="","","(")</f>
        <v/>
      </c>
      <c r="M37" s="1" t="str">
        <f t="shared" ref="M37:M46" si="27">IF(F37="","",F37)</f>
        <v/>
      </c>
      <c r="N37" s="1" t="str">
        <f t="shared" ref="N37:N46" si="28">IF(F37="","",")")</f>
        <v/>
      </c>
      <c r="O37" s="1" t="str">
        <f t="shared" si="0"/>
        <v/>
      </c>
      <c r="P37" s="1" t="str">
        <f t="shared" ref="P37:P46" si="29">IF(G37="N","NOT NULL","NULL")</f>
        <v>NULL</v>
      </c>
      <c r="Q37" s="1" t="s">
        <v>113</v>
      </c>
      <c r="R37" s="1"/>
      <c r="S37" s="1" t="str">
        <f>"COMMENT ON COLUMN " &amp; C3 &amp; "." &amp; C37 &amp; " IS '" &amp; B37 &amp; "'"</f>
        <v>COMMENT ON COLUMN TEMPTABLE. IS ''</v>
      </c>
      <c r="X37" s="13" t="s">
        <v>771</v>
      </c>
    </row>
    <row r="38" spans="1:24" x14ac:dyDescent="0.3">
      <c r="A38" s="2"/>
      <c r="B38" s="2"/>
      <c r="C38" s="2"/>
      <c r="D38" s="2"/>
      <c r="E38" s="2"/>
      <c r="F38" s="2"/>
      <c r="G38" s="12" t="s">
        <v>565</v>
      </c>
      <c r="H38" s="12"/>
      <c r="I38" s="1"/>
      <c r="J38" s="1" t="str">
        <f t="shared" si="24"/>
        <v/>
      </c>
      <c r="K38" s="1" t="str">
        <f t="shared" si="25"/>
        <v/>
      </c>
      <c r="L38" s="1" t="str">
        <f t="shared" si="26"/>
        <v/>
      </c>
      <c r="M38" s="1" t="str">
        <f t="shared" si="27"/>
        <v/>
      </c>
      <c r="N38" s="1" t="str">
        <f t="shared" si="28"/>
        <v/>
      </c>
      <c r="O38" s="1" t="str">
        <f t="shared" si="0"/>
        <v/>
      </c>
      <c r="P38" s="1" t="str">
        <f t="shared" si="29"/>
        <v>NULL</v>
      </c>
      <c r="Q38" s="1" t="s">
        <v>113</v>
      </c>
      <c r="R38" s="1"/>
      <c r="S38" s="1" t="str">
        <f>"COMMENT ON COLUMN " &amp; C3 &amp; "." &amp; C38 &amp; " IS '" &amp; B38 &amp; "'"</f>
        <v>COMMENT ON COLUMN TEMPTABLE. IS ''</v>
      </c>
      <c r="X38" s="13" t="s">
        <v>771</v>
      </c>
    </row>
    <row r="39" spans="1:24" x14ac:dyDescent="0.3">
      <c r="A39" s="2"/>
      <c r="B39" s="2"/>
      <c r="C39" s="2"/>
      <c r="D39" s="2"/>
      <c r="E39" s="2"/>
      <c r="F39" s="2"/>
      <c r="G39" s="12" t="s">
        <v>565</v>
      </c>
      <c r="H39" s="12"/>
      <c r="I39" s="1"/>
      <c r="J39" s="1" t="str">
        <f t="shared" si="24"/>
        <v/>
      </c>
      <c r="K39" s="1" t="str">
        <f t="shared" si="25"/>
        <v/>
      </c>
      <c r="L39" s="1" t="str">
        <f t="shared" si="26"/>
        <v/>
      </c>
      <c r="M39" s="1" t="str">
        <f t="shared" si="27"/>
        <v/>
      </c>
      <c r="N39" s="1" t="str">
        <f t="shared" si="28"/>
        <v/>
      </c>
      <c r="O39" s="1" t="str">
        <f t="shared" si="0"/>
        <v/>
      </c>
      <c r="P39" s="1" t="str">
        <f t="shared" si="29"/>
        <v>NULL</v>
      </c>
      <c r="Q39" s="1" t="s">
        <v>113</v>
      </c>
      <c r="R39" s="1"/>
      <c r="S39" s="1" t="str">
        <f>"COMMENT ON COLUMN " &amp; C3 &amp; "." &amp; C39 &amp; " IS '" &amp; B39 &amp; "'"</f>
        <v>COMMENT ON COLUMN TEMPTABLE. IS ''</v>
      </c>
      <c r="X39" s="13" t="s">
        <v>771</v>
      </c>
    </row>
    <row r="40" spans="1:24" x14ac:dyDescent="0.3">
      <c r="A40" s="2"/>
      <c r="B40" s="2"/>
      <c r="C40" s="2"/>
      <c r="D40" s="2"/>
      <c r="E40" s="2"/>
      <c r="F40" s="2"/>
      <c r="G40" s="12" t="s">
        <v>565</v>
      </c>
      <c r="H40" s="12"/>
      <c r="I40" s="1"/>
      <c r="J40" s="1" t="str">
        <f t="shared" si="24"/>
        <v/>
      </c>
      <c r="K40" s="1" t="str">
        <f t="shared" si="25"/>
        <v/>
      </c>
      <c r="L40" s="1" t="str">
        <f t="shared" si="26"/>
        <v/>
      </c>
      <c r="M40" s="1" t="str">
        <f t="shared" si="27"/>
        <v/>
      </c>
      <c r="N40" s="1" t="str">
        <f t="shared" si="28"/>
        <v/>
      </c>
      <c r="O40" s="1" t="str">
        <f t="shared" si="0"/>
        <v/>
      </c>
      <c r="P40" s="1" t="str">
        <f t="shared" si="29"/>
        <v>NULL</v>
      </c>
      <c r="Q40" s="1" t="s">
        <v>113</v>
      </c>
      <c r="R40" s="1"/>
      <c r="S40" s="1" t="str">
        <f>"COMMENT ON COLUMN " &amp; C3 &amp; "." &amp; C40 &amp; " IS '" &amp; B40 &amp; "'"</f>
        <v>COMMENT ON COLUMN TEMPTABLE. IS ''</v>
      </c>
      <c r="X40" s="13" t="s">
        <v>771</v>
      </c>
    </row>
    <row r="41" spans="1:24" x14ac:dyDescent="0.3">
      <c r="A41" s="2"/>
      <c r="B41" s="2"/>
      <c r="C41" s="2"/>
      <c r="D41" s="2"/>
      <c r="E41" s="2"/>
      <c r="F41" s="2"/>
      <c r="G41" s="12" t="s">
        <v>565</v>
      </c>
      <c r="H41" s="12"/>
      <c r="I41" s="1"/>
      <c r="J41" s="1" t="str">
        <f t="shared" si="24"/>
        <v/>
      </c>
      <c r="K41" s="1" t="str">
        <f t="shared" si="25"/>
        <v/>
      </c>
      <c r="L41" s="1" t="str">
        <f t="shared" si="26"/>
        <v/>
      </c>
      <c r="M41" s="1" t="str">
        <f t="shared" si="27"/>
        <v/>
      </c>
      <c r="N41" s="1" t="str">
        <f t="shared" si="28"/>
        <v/>
      </c>
      <c r="O41" s="1" t="str">
        <f t="shared" si="0"/>
        <v/>
      </c>
      <c r="P41" s="1" t="str">
        <f t="shared" si="29"/>
        <v>NULL</v>
      </c>
      <c r="Q41" s="1" t="s">
        <v>113</v>
      </c>
      <c r="R41" s="1"/>
      <c r="S41" s="1" t="str">
        <f>"COMMENT ON COLUMN " &amp; C3 &amp; "." &amp; C41 &amp; " IS '" &amp; B41 &amp; "'"</f>
        <v>COMMENT ON COLUMN TEMPTABLE. IS ''</v>
      </c>
      <c r="X41" s="13" t="s">
        <v>771</v>
      </c>
    </row>
    <row r="42" spans="1:24" x14ac:dyDescent="0.3">
      <c r="A42" s="2"/>
      <c r="B42" s="2"/>
      <c r="C42" s="2"/>
      <c r="D42" s="2"/>
      <c r="E42" s="2"/>
      <c r="F42" s="2"/>
      <c r="G42" s="12" t="s">
        <v>565</v>
      </c>
      <c r="H42" s="12"/>
      <c r="I42" s="1"/>
      <c r="J42" s="1" t="str">
        <f t="shared" si="24"/>
        <v/>
      </c>
      <c r="K42" s="1" t="str">
        <f t="shared" si="25"/>
        <v/>
      </c>
      <c r="L42" s="1" t="str">
        <f t="shared" si="26"/>
        <v/>
      </c>
      <c r="M42" s="1" t="str">
        <f t="shared" si="27"/>
        <v/>
      </c>
      <c r="N42" s="1" t="str">
        <f t="shared" si="28"/>
        <v/>
      </c>
      <c r="O42" s="1" t="str">
        <f t="shared" si="0"/>
        <v/>
      </c>
      <c r="P42" s="1" t="str">
        <f t="shared" si="29"/>
        <v>NULL</v>
      </c>
      <c r="Q42" s="1" t="s">
        <v>113</v>
      </c>
      <c r="R42" s="1"/>
      <c r="S42" s="1" t="str">
        <f>"COMMENT ON COLUMN " &amp; C3 &amp; "." &amp; C42 &amp; " IS '" &amp; B42 &amp; "'"</f>
        <v>COMMENT ON COLUMN TEMPTABLE. IS ''</v>
      </c>
      <c r="X42" s="13" t="s">
        <v>771</v>
      </c>
    </row>
    <row r="43" spans="1:24" x14ac:dyDescent="0.3">
      <c r="A43" s="2"/>
      <c r="B43" s="2" t="s">
        <v>111</v>
      </c>
      <c r="C43" s="2" t="s">
        <v>790</v>
      </c>
      <c r="D43" s="2" t="s">
        <v>188</v>
      </c>
      <c r="E43" s="2" t="s">
        <v>618</v>
      </c>
      <c r="F43" s="2">
        <v>20</v>
      </c>
      <c r="G43" s="2" t="s">
        <v>90</v>
      </c>
      <c r="H43" s="15"/>
      <c r="I43" s="1"/>
      <c r="J43" s="1" t="str">
        <f t="shared" si="24"/>
        <v>INITBY</v>
      </c>
      <c r="K43" s="1" t="str">
        <f t="shared" si="25"/>
        <v>NVARCHAR2</v>
      </c>
      <c r="L43" s="1" t="str">
        <f t="shared" si="26"/>
        <v>(</v>
      </c>
      <c r="M43" s="1">
        <f t="shared" si="27"/>
        <v>20</v>
      </c>
      <c r="N43" s="1" t="str">
        <f t="shared" si="28"/>
        <v>)</v>
      </c>
      <c r="O43" s="1" t="str">
        <f t="shared" si="0"/>
        <v/>
      </c>
      <c r="P43" s="1" t="str">
        <f t="shared" si="29"/>
        <v>NOT NULL</v>
      </c>
      <c r="Q43" s="1" t="s">
        <v>113</v>
      </c>
      <c r="R43" s="1"/>
      <c r="S43" s="1" t="str">
        <f>"COMMENT ON COLUMN " &amp; C3 &amp; "." &amp; C43 &amp; " IS '" &amp; B43 &amp; "'"</f>
        <v>COMMENT ON COLUMN TEMPTABLE.INITBY IS '입력자'</v>
      </c>
      <c r="X43" s="13" t="s">
        <v>771</v>
      </c>
    </row>
    <row r="44" spans="1:24" x14ac:dyDescent="0.3">
      <c r="A44" s="2"/>
      <c r="B44" s="2" t="s">
        <v>254</v>
      </c>
      <c r="C44" s="2" t="s">
        <v>791</v>
      </c>
      <c r="D44" s="2" t="s">
        <v>254</v>
      </c>
      <c r="E44" s="2" t="s">
        <v>228</v>
      </c>
      <c r="F44" s="2"/>
      <c r="G44" s="2" t="s">
        <v>90</v>
      </c>
      <c r="H44" s="12" t="s">
        <v>570</v>
      </c>
      <c r="I44" s="1"/>
      <c r="J44" s="1" t="str">
        <f t="shared" si="24"/>
        <v>INITDTTM</v>
      </c>
      <c r="K44" s="1" t="str">
        <f t="shared" si="25"/>
        <v>DATE</v>
      </c>
      <c r="L44" s="1" t="str">
        <f t="shared" si="26"/>
        <v/>
      </c>
      <c r="M44" s="1" t="str">
        <f t="shared" si="27"/>
        <v/>
      </c>
      <c r="N44" s="1" t="str">
        <f t="shared" si="28"/>
        <v/>
      </c>
      <c r="O44" s="1" t="str">
        <f t="shared" si="0"/>
        <v>DEFAULT SYSDATE</v>
      </c>
      <c r="P44" s="1" t="str">
        <f t="shared" si="29"/>
        <v>NOT NULL</v>
      </c>
      <c r="Q44" s="1" t="s">
        <v>113</v>
      </c>
      <c r="R44" s="1"/>
      <c r="S44" s="1" t="str">
        <f>"COMMENT ON COLUMN " &amp; C3 &amp; "." &amp; C44 &amp; " IS '" &amp; B44 &amp; "'"</f>
        <v>COMMENT ON COLUMN TEMPTABLE.INITDTTM IS '입력일시'</v>
      </c>
      <c r="X44" s="13" t="s">
        <v>771</v>
      </c>
    </row>
    <row r="45" spans="1:24" x14ac:dyDescent="0.3">
      <c r="A45" s="2"/>
      <c r="B45" s="2" t="s">
        <v>99</v>
      </c>
      <c r="C45" s="2" t="s">
        <v>793</v>
      </c>
      <c r="D45" s="2" t="s">
        <v>197</v>
      </c>
      <c r="E45" s="2" t="s">
        <v>618</v>
      </c>
      <c r="F45" s="2">
        <v>20</v>
      </c>
      <c r="G45" s="2" t="s">
        <v>122</v>
      </c>
      <c r="H45" s="15"/>
      <c r="I45" s="1"/>
      <c r="J45" s="1" t="str">
        <f t="shared" si="24"/>
        <v>UPBY</v>
      </c>
      <c r="K45" s="1" t="str">
        <f t="shared" si="25"/>
        <v>NVARCHAR2</v>
      </c>
      <c r="L45" s="1" t="str">
        <f t="shared" si="26"/>
        <v>(</v>
      </c>
      <c r="M45" s="1">
        <f t="shared" si="27"/>
        <v>20</v>
      </c>
      <c r="N45" s="1" t="str">
        <f t="shared" si="28"/>
        <v>)</v>
      </c>
      <c r="O45" s="1" t="str">
        <f t="shared" si="0"/>
        <v/>
      </c>
      <c r="P45" s="1" t="str">
        <f t="shared" si="29"/>
        <v>NULL</v>
      </c>
      <c r="Q45" s="1" t="s">
        <v>113</v>
      </c>
      <c r="R45" s="1"/>
      <c r="S45" s="1" t="str">
        <f>"COMMENT ON COLUMN " &amp; C3 &amp; "." &amp; C45 &amp; " IS '" &amp; B45 &amp; "'"</f>
        <v>COMMENT ON COLUMN TEMPTABLE.UPBY IS '수정자'</v>
      </c>
      <c r="X45" s="13" t="s">
        <v>771</v>
      </c>
    </row>
    <row r="46" spans="1:24" x14ac:dyDescent="0.3">
      <c r="A46" s="2"/>
      <c r="B46" s="2" t="s">
        <v>259</v>
      </c>
      <c r="C46" s="2" t="s">
        <v>792</v>
      </c>
      <c r="D46" s="2" t="s">
        <v>259</v>
      </c>
      <c r="E46" s="2" t="s">
        <v>228</v>
      </c>
      <c r="F46" s="2"/>
      <c r="G46" s="2" t="s">
        <v>122</v>
      </c>
      <c r="H46" s="12"/>
      <c r="I46" s="1"/>
      <c r="J46" s="1" t="str">
        <f t="shared" si="24"/>
        <v>UPDTTM</v>
      </c>
      <c r="K46" s="1" t="str">
        <f t="shared" si="25"/>
        <v>DATE</v>
      </c>
      <c r="L46" s="1" t="str">
        <f t="shared" si="26"/>
        <v/>
      </c>
      <c r="M46" s="1" t="str">
        <f t="shared" si="27"/>
        <v/>
      </c>
      <c r="N46" s="1" t="str">
        <f t="shared" si="28"/>
        <v/>
      </c>
      <c r="O46" s="1" t="str">
        <f t="shared" si="0"/>
        <v/>
      </c>
      <c r="P46" s="1" t="str">
        <f t="shared" si="29"/>
        <v>NULL</v>
      </c>
      <c r="Q46" s="21" t="s">
        <v>723</v>
      </c>
      <c r="R46" s="1"/>
      <c r="S46" s="1" t="str">
        <f>"COMMENT ON COLUMN " &amp; C3 &amp; "." &amp; C46 &amp; " IS '" &amp; B46 &amp; "'"</f>
        <v>COMMENT ON COLUMN TEMPTABLE.UPDTTM IS '수정일시'</v>
      </c>
      <c r="X46" s="13" t="s">
        <v>771</v>
      </c>
    </row>
    <row r="47" spans="1:24" x14ac:dyDescent="0.3">
      <c r="J47" s="13" t="str">
        <f>"ALTER TABLE "&amp;C3&amp;""</f>
        <v>ALTER TABLE TEMPTABLE</v>
      </c>
    </row>
    <row r="48" spans="1:24" x14ac:dyDescent="0.3">
      <c r="J48" s="13" t="str" cm="1">
        <f t="array" ref="J48">"ADD CONSTRAINT PK_"&amp;C3&amp;" PRIMARY KEY (" &amp; _xlfn.TEXTJOIN(", ", TRUE, _xlfn._xlws.FILTER(C6:C91, A6:A91="Y")) &amp; ")"</f>
        <v>ADD CONSTRAINT PK_TEMPTABLE PRIMARY KEY (COMPANY_CODE, PLANT_CODE, PROCESS_CODE)</v>
      </c>
      <c r="Q48" s="13" t="s">
        <v>771</v>
      </c>
    </row>
  </sheetData>
  <phoneticPr fontId="7" type="noConversion"/>
  <hyperlinks>
    <hyperlink ref="A1" location="리스트!A1" display="리스트로 이동" xr:uid="{9BEB43C5-5348-4A9F-BAC3-1678E3068B35}"/>
  </hyperlinks>
  <pageMargins left="0.74805557727813721" right="0.74805557727813721" top="0.98430556058883667" bottom="0.98430556058883667" header="0.51166665554046631" footer="0.51166665554046631"/>
  <pageSetup paperSize="9" fitToWidth="0" fitToHeight="0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52D40-547A-48DB-8998-B69197A49C14}">
  <dimension ref="A1:X22"/>
  <sheetViews>
    <sheetView zoomScaleNormal="100" zoomScaleSheetLayoutView="100" workbookViewId="0">
      <selection activeCell="J3" sqref="J3:Q3"/>
    </sheetView>
  </sheetViews>
  <sheetFormatPr defaultColWidth="9" defaultRowHeight="16.5" x14ac:dyDescent="0.3"/>
  <cols>
    <col min="1" max="1" width="8.625" bestFit="1" customWidth="1"/>
    <col min="2" max="2" width="13.75" bestFit="1" customWidth="1"/>
    <col min="3" max="3" width="14.125" bestFit="1" customWidth="1"/>
    <col min="4" max="4" width="19.375" bestFit="1" customWidth="1"/>
    <col min="5" max="5" width="12.75" bestFit="1" customWidth="1"/>
    <col min="6" max="6" width="6.75" bestFit="1" customWidth="1"/>
    <col min="7" max="7" width="9" bestFit="1" customWidth="1"/>
    <col min="8" max="8" width="9" customWidth="1"/>
    <col min="10" max="11" width="16.875" customWidth="1"/>
    <col min="12" max="12" width="1.625" bestFit="1" customWidth="1"/>
    <col min="13" max="13" width="3.75" customWidth="1"/>
    <col min="14" max="14" width="1.625" bestFit="1" customWidth="1"/>
    <col min="15" max="15" width="18.375" bestFit="1" customWidth="1"/>
    <col min="16" max="17" width="10.125" bestFit="1" customWidth="1"/>
    <col min="18" max="18" width="16.875" customWidth="1"/>
  </cols>
  <sheetData>
    <row r="1" spans="1:24" x14ac:dyDescent="0.3">
      <c r="A1" s="16" t="s">
        <v>615</v>
      </c>
    </row>
    <row r="2" spans="1:24" x14ac:dyDescent="0.3">
      <c r="A2" s="2"/>
      <c r="B2" s="2" t="s">
        <v>116</v>
      </c>
      <c r="C2" s="2" t="s">
        <v>119</v>
      </c>
      <c r="D2" s="2" t="s">
        <v>112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24" x14ac:dyDescent="0.3">
      <c r="A3" s="2"/>
      <c r="B3" s="2" t="s">
        <v>368</v>
      </c>
      <c r="C3" s="12" t="s">
        <v>652</v>
      </c>
      <c r="D3" s="2"/>
      <c r="E3" s="1"/>
      <c r="F3" s="1"/>
      <c r="G3" s="1"/>
      <c r="H3" s="1"/>
      <c r="I3" s="1"/>
      <c r="J3" s="13" t="str">
        <f>"DROP TABLE "&amp;C3&amp;" CASCADE CONSTRAINTS PURGE"</f>
        <v>DROP TABLE COMMON_CODE CASCADE CONSTRAINTS PURGE</v>
      </c>
      <c r="K3" s="1"/>
      <c r="L3" s="1"/>
      <c r="M3" s="1"/>
      <c r="N3" s="1"/>
      <c r="O3" s="1"/>
      <c r="P3" s="21"/>
      <c r="Q3" s="21" t="s">
        <v>771</v>
      </c>
      <c r="R3" s="1"/>
      <c r="S3" s="1"/>
    </row>
    <row r="4" spans="1:2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24" x14ac:dyDescent="0.3">
      <c r="A5" s="2" t="s">
        <v>88</v>
      </c>
      <c r="B5" s="2" t="s">
        <v>772</v>
      </c>
      <c r="C5" s="2" t="s">
        <v>252</v>
      </c>
      <c r="D5" s="2" t="s">
        <v>169</v>
      </c>
      <c r="E5" s="2" t="s">
        <v>265</v>
      </c>
      <c r="F5" s="2" t="s">
        <v>101</v>
      </c>
      <c r="G5" s="2" t="s">
        <v>205</v>
      </c>
      <c r="H5" s="12" t="s">
        <v>799</v>
      </c>
      <c r="I5" s="1"/>
      <c r="J5" s="1" t="str">
        <f>"CREATE TABLE "&amp;C3&amp;" ("</f>
        <v>CREATE TABLE COMMON_CODE (</v>
      </c>
      <c r="K5" s="1"/>
      <c r="L5" s="1"/>
      <c r="M5" s="1"/>
      <c r="N5" s="1"/>
      <c r="O5" s="1"/>
      <c r="P5" s="1"/>
      <c r="Q5" s="1"/>
      <c r="R5" s="1"/>
      <c r="S5" s="1" t="str">
        <f>"COMMENT ON TABLE " &amp; C3 &amp; " IS '" &amp; SUBSTITUTE(B3,"'","''") &amp; "'"</f>
        <v>COMMENT ON TABLE COMMON_CODE IS '공통코드'</v>
      </c>
      <c r="X5" s="13" t="s">
        <v>771</v>
      </c>
    </row>
    <row r="6" spans="1:24" x14ac:dyDescent="0.3">
      <c r="A6" s="2" t="s">
        <v>122</v>
      </c>
      <c r="B6" s="2" t="s">
        <v>800</v>
      </c>
      <c r="C6" s="12" t="s">
        <v>797</v>
      </c>
      <c r="D6" s="2"/>
      <c r="E6" s="2" t="s">
        <v>618</v>
      </c>
      <c r="F6" s="2">
        <v>40</v>
      </c>
      <c r="G6" s="2" t="s">
        <v>90</v>
      </c>
      <c r="H6" s="12"/>
      <c r="I6" s="1"/>
      <c r="J6" s="1" t="str">
        <f>""&amp;C6&amp;""</f>
        <v>CODEVALUE</v>
      </c>
      <c r="K6" s="1" t="str">
        <f>""&amp;E6&amp;""</f>
        <v>NVARCHAR2</v>
      </c>
      <c r="L6" s="1" t="str">
        <f>IF(F6="","","(")</f>
        <v>(</v>
      </c>
      <c r="M6" s="1">
        <f>IF(F6="","",F6)</f>
        <v>40</v>
      </c>
      <c r="N6" s="1" t="str">
        <f>IF(F6="","",")")</f>
        <v>)</v>
      </c>
      <c r="O6" s="1" t="str">
        <f t="shared" ref="O6:O20" si="0">IF(H6&lt;&gt;"","DEFAULT "&amp;H6,"")</f>
        <v/>
      </c>
      <c r="P6" s="1" t="str">
        <f>IF(G6="N","NOT NULL","NULL")</f>
        <v>NOT NULL</v>
      </c>
      <c r="Q6" s="1" t="s">
        <v>113</v>
      </c>
      <c r="S6" s="1" t="str">
        <f>"COMMENT ON COLUMN " &amp; C3 &amp; "." &amp; C6 &amp; " IS '" &amp; B6 &amp; "'"</f>
        <v>COMMENT ON COLUMN COMMON_CODE.CODEVALUE IS '코드값'</v>
      </c>
      <c r="X6" s="13" t="s">
        <v>771</v>
      </c>
    </row>
    <row r="7" spans="1:24" x14ac:dyDescent="0.3">
      <c r="A7" s="12"/>
      <c r="B7" s="12" t="s">
        <v>803</v>
      </c>
      <c r="C7" s="12" t="s">
        <v>798</v>
      </c>
      <c r="D7" s="2"/>
      <c r="E7" s="2" t="s">
        <v>618</v>
      </c>
      <c r="F7" s="2">
        <v>200</v>
      </c>
      <c r="G7" s="2" t="s">
        <v>90</v>
      </c>
      <c r="H7" s="12"/>
      <c r="I7" s="1"/>
      <c r="J7" s="1" t="str">
        <f t="shared" ref="J7" si="1">""&amp;C7&amp;""</f>
        <v>DISPLAYVALUE</v>
      </c>
      <c r="K7" s="1" t="str">
        <f t="shared" ref="K7" si="2">""&amp;E7&amp;""</f>
        <v>NVARCHAR2</v>
      </c>
      <c r="L7" s="1" t="str">
        <f t="shared" ref="L7" si="3">IF(F7="","","(")</f>
        <v>(</v>
      </c>
      <c r="M7" s="1">
        <f t="shared" ref="M7" si="4">IF(F7="","",F7)</f>
        <v>200</v>
      </c>
      <c r="N7" s="1" t="str">
        <f t="shared" ref="N7" si="5">IF(F7="","",")")</f>
        <v>)</v>
      </c>
      <c r="O7" s="1" t="str">
        <f t="shared" ref="O7" si="6">IF(H7&lt;&gt;"","DEFAULT "&amp;H7,"")</f>
        <v/>
      </c>
      <c r="P7" s="1" t="str">
        <f t="shared" ref="P7" si="7">IF(G7="N","NOT NULL","NULL")</f>
        <v>NOT NULL</v>
      </c>
      <c r="Q7" s="1" t="s">
        <v>113</v>
      </c>
      <c r="R7" s="1"/>
      <c r="S7" s="1" t="str">
        <f>"COMMENT ON COLUMN " &amp; C3 &amp; "." &amp; C7 &amp; " IS '" &amp; B7 &amp; "'"</f>
        <v>COMMENT ON COLUMN COMMON_CODE.DISPLAYVALUE IS '표시값'</v>
      </c>
      <c r="X7" s="13" t="s">
        <v>771</v>
      </c>
    </row>
    <row r="8" spans="1:24" x14ac:dyDescent="0.3">
      <c r="A8" s="2" t="s">
        <v>122</v>
      </c>
      <c r="B8" s="2" t="s">
        <v>801</v>
      </c>
      <c r="C8" s="2" t="s">
        <v>802</v>
      </c>
      <c r="D8" s="2"/>
      <c r="E8" s="2" t="s">
        <v>618</v>
      </c>
      <c r="F8" s="2">
        <v>40</v>
      </c>
      <c r="G8" s="2" t="s">
        <v>90</v>
      </c>
      <c r="H8" s="12"/>
      <c r="I8" s="1"/>
      <c r="J8" s="1" t="str">
        <f>""&amp;C8&amp;""</f>
        <v>PCODEVALUE</v>
      </c>
      <c r="K8" s="1" t="str">
        <f>""&amp;E8&amp;""</f>
        <v>NVARCHAR2</v>
      </c>
      <c r="L8" s="1" t="str">
        <f>IF(F8="","","(")</f>
        <v>(</v>
      </c>
      <c r="M8" s="1">
        <f>IF(F8="","",F8)</f>
        <v>40</v>
      </c>
      <c r="N8" s="1" t="str">
        <f>IF(F8="","",")")</f>
        <v>)</v>
      </c>
      <c r="O8" s="1" t="str">
        <f>IF(H8&lt;&gt;"","DEFAULT "&amp;H8,"")</f>
        <v/>
      </c>
      <c r="P8" s="1" t="str">
        <f>IF(G8="N","NOT NULL","NULL")</f>
        <v>NOT NULL</v>
      </c>
      <c r="Q8" s="1" t="s">
        <v>113</v>
      </c>
      <c r="R8" s="1"/>
      <c r="S8" s="1" t="str">
        <f>"COMMENT ON COLUMN " &amp; C3 &amp; "." &amp; C8 &amp; " IS '" &amp; B8 &amp; "'"</f>
        <v>COMMENT ON COLUMN COMMON_CODE.PCODEVALUE IS '부모코드'</v>
      </c>
      <c r="X8" s="13" t="s">
        <v>771</v>
      </c>
    </row>
    <row r="9" spans="1:24" x14ac:dyDescent="0.3">
      <c r="A9" s="12"/>
      <c r="B9" s="2" t="s">
        <v>794</v>
      </c>
      <c r="C9" s="12" t="s">
        <v>817</v>
      </c>
      <c r="D9" s="2"/>
      <c r="E9" s="2" t="s">
        <v>545</v>
      </c>
      <c r="F9" s="2">
        <v>5</v>
      </c>
      <c r="G9" s="2" t="s">
        <v>90</v>
      </c>
      <c r="H9" s="12">
        <v>0</v>
      </c>
      <c r="I9" s="1"/>
      <c r="J9" s="1" t="str">
        <f t="shared" ref="J9:J20" si="8">""&amp;C9&amp;""</f>
        <v>Sort_NUM</v>
      </c>
      <c r="K9" s="1" t="str">
        <f t="shared" ref="K9:K20" si="9">""&amp;E9&amp;""</f>
        <v>NUMBER</v>
      </c>
      <c r="L9" s="1" t="str">
        <f t="shared" ref="L9:L20" si="10">IF(F9="","","(")</f>
        <v>(</v>
      </c>
      <c r="M9" s="1">
        <f t="shared" ref="M9:M20" si="11">IF(F9="","",F9)</f>
        <v>5</v>
      </c>
      <c r="N9" s="1" t="str">
        <f t="shared" ref="N9:N20" si="12">IF(F9="","",")")</f>
        <v>)</v>
      </c>
      <c r="O9" s="1" t="str">
        <f t="shared" si="0"/>
        <v>DEFAULT 0</v>
      </c>
      <c r="P9" s="1" t="str">
        <f t="shared" ref="P9:P20" si="13">IF(G9="N","NOT NULL","NULL")</f>
        <v>NOT NULL</v>
      </c>
      <c r="Q9" s="1" t="s">
        <v>113</v>
      </c>
      <c r="R9" s="1"/>
      <c r="S9" s="1" t="str">
        <f>"COMMENT ON COLUMN " &amp; C3 &amp; "." &amp; C9 &amp; " IS '" &amp; B9 &amp; "'"</f>
        <v>COMMENT ON COLUMN COMMON_CODE.Sort_NUM IS '정렬순서'</v>
      </c>
      <c r="X9" s="13" t="s">
        <v>771</v>
      </c>
    </row>
    <row r="10" spans="1:24" x14ac:dyDescent="0.3">
      <c r="A10" s="2"/>
      <c r="B10" s="2" t="s">
        <v>804</v>
      </c>
      <c r="C10" s="2" t="s">
        <v>805</v>
      </c>
      <c r="D10" s="2"/>
      <c r="E10" s="2" t="s">
        <v>618</v>
      </c>
      <c r="F10" s="2">
        <v>40</v>
      </c>
      <c r="G10" s="2" t="s">
        <v>122</v>
      </c>
      <c r="H10" s="12"/>
      <c r="I10" s="1"/>
      <c r="J10" s="1" t="str">
        <f t="shared" ref="J10" si="14">""&amp;C10&amp;""</f>
        <v>REF1</v>
      </c>
      <c r="K10" s="1" t="str">
        <f t="shared" ref="K10" si="15">""&amp;E10&amp;""</f>
        <v>NVARCHAR2</v>
      </c>
      <c r="L10" s="1" t="str">
        <f t="shared" ref="L10" si="16">IF(F10="","","(")</f>
        <v>(</v>
      </c>
      <c r="M10" s="1">
        <f t="shared" ref="M10" si="17">IF(F10="","",F10)</f>
        <v>40</v>
      </c>
      <c r="N10" s="1" t="str">
        <f t="shared" ref="N10" si="18">IF(F10="","",")")</f>
        <v>)</v>
      </c>
      <c r="O10" s="1" t="str">
        <f t="shared" ref="O10" si="19">IF(H10&lt;&gt;"","DEFAULT "&amp;H10,"")</f>
        <v/>
      </c>
      <c r="P10" s="1" t="str">
        <f t="shared" ref="P10" si="20">IF(G10="N","NOT NULL","NULL")</f>
        <v>NULL</v>
      </c>
      <c r="Q10" s="1" t="s">
        <v>113</v>
      </c>
      <c r="R10" s="1"/>
      <c r="S10" s="1" t="str">
        <f>"COMMENT ON COLUMN " &amp; C3 &amp; "." &amp; C10 &amp; " IS '" &amp; B10 &amp; "'"</f>
        <v>COMMENT ON COLUMN COMMON_CODE.REF1 IS '참조1'</v>
      </c>
      <c r="X10" s="13" t="s">
        <v>771</v>
      </c>
    </row>
    <row r="11" spans="1:24" x14ac:dyDescent="0.3">
      <c r="A11" s="2"/>
      <c r="B11" s="2" t="s">
        <v>811</v>
      </c>
      <c r="C11" s="12" t="s">
        <v>812</v>
      </c>
      <c r="D11" s="2"/>
      <c r="E11" s="2" t="s">
        <v>618</v>
      </c>
      <c r="F11" s="2">
        <v>200</v>
      </c>
      <c r="G11" s="2" t="s">
        <v>122</v>
      </c>
      <c r="H11" s="12"/>
      <c r="I11" s="1"/>
      <c r="J11" s="1" t="str">
        <f t="shared" si="8"/>
        <v>REF1_NAME</v>
      </c>
      <c r="K11" s="1" t="str">
        <f t="shared" si="9"/>
        <v>NVARCHAR2</v>
      </c>
      <c r="L11" s="1" t="str">
        <f t="shared" si="10"/>
        <v>(</v>
      </c>
      <c r="M11" s="1">
        <f t="shared" si="11"/>
        <v>200</v>
      </c>
      <c r="N11" s="1" t="str">
        <f t="shared" si="12"/>
        <v>)</v>
      </c>
      <c r="O11" s="1" t="str">
        <f t="shared" si="0"/>
        <v/>
      </c>
      <c r="P11" s="1" t="str">
        <f t="shared" si="13"/>
        <v>NULL</v>
      </c>
      <c r="Q11" s="1" t="s">
        <v>113</v>
      </c>
      <c r="R11" s="1"/>
      <c r="S11" s="1" t="str">
        <f>"COMMENT ON COLUMN " &amp; C3 &amp; "." &amp; C11 &amp; " IS '" &amp; B11 &amp; "'"</f>
        <v>COMMENT ON COLUMN COMMON_CODE.REF1_NAME IS '참조1명'</v>
      </c>
      <c r="X11" s="13" t="s">
        <v>771</v>
      </c>
    </row>
    <row r="12" spans="1:24" x14ac:dyDescent="0.3">
      <c r="A12" s="2"/>
      <c r="B12" s="12" t="s">
        <v>806</v>
      </c>
      <c r="C12" s="12" t="s">
        <v>807</v>
      </c>
      <c r="D12" s="2"/>
      <c r="E12" s="2" t="s">
        <v>618</v>
      </c>
      <c r="F12" s="2">
        <v>20</v>
      </c>
      <c r="G12" s="2" t="s">
        <v>122</v>
      </c>
      <c r="H12" s="12"/>
      <c r="I12" s="1"/>
      <c r="J12" s="1" t="str">
        <f t="shared" si="8"/>
        <v>REF2</v>
      </c>
      <c r="K12" s="1" t="str">
        <f t="shared" si="9"/>
        <v>NVARCHAR2</v>
      </c>
      <c r="L12" s="1" t="str">
        <f t="shared" si="10"/>
        <v>(</v>
      </c>
      <c r="M12" s="1">
        <f t="shared" si="11"/>
        <v>20</v>
      </c>
      <c r="N12" s="1" t="str">
        <f t="shared" si="12"/>
        <v>)</v>
      </c>
      <c r="O12" s="1" t="str">
        <f t="shared" si="0"/>
        <v/>
      </c>
      <c r="P12" s="1" t="str">
        <f t="shared" si="13"/>
        <v>NULL</v>
      </c>
      <c r="Q12" s="1" t="s">
        <v>113</v>
      </c>
      <c r="R12" s="1"/>
      <c r="S12" s="1" t="str">
        <f>"COMMENT ON COLUMN " &amp; C3 &amp; "." &amp; C12 &amp; " IS '" &amp; B12 &amp; "'"</f>
        <v>COMMENT ON COLUMN COMMON_CODE.REF2 IS '참조2'</v>
      </c>
      <c r="X12" s="13" t="s">
        <v>771</v>
      </c>
    </row>
    <row r="13" spans="1:24" x14ac:dyDescent="0.3">
      <c r="A13" s="2"/>
      <c r="B13" s="2" t="s">
        <v>813</v>
      </c>
      <c r="C13" s="2" t="s">
        <v>814</v>
      </c>
      <c r="D13" s="2"/>
      <c r="E13" s="2" t="s">
        <v>618</v>
      </c>
      <c r="F13" s="2">
        <v>200</v>
      </c>
      <c r="G13" s="2" t="s">
        <v>122</v>
      </c>
      <c r="H13" s="12"/>
      <c r="I13" s="1"/>
      <c r="J13" s="1" t="str">
        <f t="shared" si="8"/>
        <v>REF2_NAME</v>
      </c>
      <c r="K13" s="1" t="str">
        <f t="shared" si="9"/>
        <v>NVARCHAR2</v>
      </c>
      <c r="L13" s="1" t="str">
        <f t="shared" si="10"/>
        <v>(</v>
      </c>
      <c r="M13" s="1">
        <f t="shared" si="11"/>
        <v>200</v>
      </c>
      <c r="N13" s="1" t="str">
        <f t="shared" si="12"/>
        <v>)</v>
      </c>
      <c r="O13" s="1" t="str">
        <f t="shared" si="0"/>
        <v/>
      </c>
      <c r="P13" s="1" t="str">
        <f t="shared" si="13"/>
        <v>NULL</v>
      </c>
      <c r="Q13" s="1" t="s">
        <v>113</v>
      </c>
      <c r="R13" s="1"/>
      <c r="S13" s="1" t="str">
        <f>"COMMENT ON COLUMN " &amp; C3 &amp; "." &amp; C13 &amp; " IS '" &amp; B13 &amp; "'"</f>
        <v>COMMENT ON COLUMN COMMON_CODE.REF2_NAME IS '참조2명'</v>
      </c>
      <c r="X13" s="13" t="s">
        <v>771</v>
      </c>
    </row>
    <row r="14" spans="1:24" x14ac:dyDescent="0.3">
      <c r="A14" s="2"/>
      <c r="B14" s="2" t="s">
        <v>808</v>
      </c>
      <c r="C14" s="2" t="s">
        <v>809</v>
      </c>
      <c r="D14" s="2"/>
      <c r="E14" s="2" t="s">
        <v>618</v>
      </c>
      <c r="F14" s="2">
        <v>20</v>
      </c>
      <c r="G14" s="2" t="s">
        <v>122</v>
      </c>
      <c r="H14" s="12"/>
      <c r="I14" s="1"/>
      <c r="J14" s="1" t="str">
        <f t="shared" si="8"/>
        <v>REF3</v>
      </c>
      <c r="K14" s="1" t="str">
        <f t="shared" si="9"/>
        <v>NVARCHAR2</v>
      </c>
      <c r="L14" s="1" t="str">
        <f t="shared" si="10"/>
        <v>(</v>
      </c>
      <c r="M14" s="1">
        <f t="shared" si="11"/>
        <v>20</v>
      </c>
      <c r="N14" s="1" t="str">
        <f t="shared" si="12"/>
        <v>)</v>
      </c>
      <c r="O14" s="1" t="str">
        <f t="shared" si="0"/>
        <v/>
      </c>
      <c r="P14" s="1" t="str">
        <f t="shared" si="13"/>
        <v>NULL</v>
      </c>
      <c r="Q14" s="1" t="s">
        <v>113</v>
      </c>
      <c r="R14" s="1"/>
      <c r="S14" s="1" t="str">
        <f>"COMMENT ON COLUMN " &amp; C3 &amp; "." &amp; C14 &amp; " IS '" &amp; B14 &amp; "'"</f>
        <v>COMMENT ON COLUMN COMMON_CODE.REF3 IS '참조3'</v>
      </c>
      <c r="X14" s="13" t="s">
        <v>771</v>
      </c>
    </row>
    <row r="15" spans="1:24" x14ac:dyDescent="0.3">
      <c r="A15" s="2"/>
      <c r="B15" s="2" t="s">
        <v>815</v>
      </c>
      <c r="C15" s="2" t="s">
        <v>816</v>
      </c>
      <c r="D15" s="2"/>
      <c r="E15" s="2" t="s">
        <v>618</v>
      </c>
      <c r="F15" s="2">
        <v>200</v>
      </c>
      <c r="G15" s="2" t="s">
        <v>122</v>
      </c>
      <c r="H15" s="15"/>
      <c r="I15" s="1"/>
      <c r="J15" s="1" t="str">
        <f t="shared" si="8"/>
        <v>REF3_NAME</v>
      </c>
      <c r="K15" s="1" t="str">
        <f t="shared" si="9"/>
        <v>NVARCHAR2</v>
      </c>
      <c r="L15" s="1" t="str">
        <f t="shared" si="10"/>
        <v>(</v>
      </c>
      <c r="M15" s="1">
        <f t="shared" si="11"/>
        <v>200</v>
      </c>
      <c r="N15" s="1" t="str">
        <f t="shared" si="12"/>
        <v>)</v>
      </c>
      <c r="O15" s="1" t="str">
        <f t="shared" si="0"/>
        <v/>
      </c>
      <c r="P15" s="1" t="str">
        <f t="shared" si="13"/>
        <v>NULL</v>
      </c>
      <c r="Q15" s="1" t="s">
        <v>113</v>
      </c>
      <c r="R15" s="1"/>
      <c r="S15" s="1" t="str">
        <f>"COMMENT ON COLUMN " &amp; C3 &amp; "." &amp; C15 &amp; " IS '" &amp; B15 &amp; "'"</f>
        <v>COMMENT ON COLUMN COMMON_CODE.REF3_NAME IS '참조3명'</v>
      </c>
      <c r="X15" s="13" t="s">
        <v>771</v>
      </c>
    </row>
    <row r="16" spans="1:24" x14ac:dyDescent="0.3">
      <c r="A16" s="2"/>
      <c r="B16" s="2" t="s">
        <v>210</v>
      </c>
      <c r="C16" s="2" t="s">
        <v>217</v>
      </c>
      <c r="D16" s="2"/>
      <c r="E16" s="2" t="s">
        <v>249</v>
      </c>
      <c r="F16" s="2">
        <v>1</v>
      </c>
      <c r="G16" s="2" t="s">
        <v>122</v>
      </c>
      <c r="H16" s="12" t="s">
        <v>796</v>
      </c>
      <c r="I16" s="1"/>
      <c r="J16" s="1" t="str">
        <f t="shared" si="8"/>
        <v>USEFLAG</v>
      </c>
      <c r="K16" s="1" t="str">
        <f t="shared" si="9"/>
        <v>CHAR</v>
      </c>
      <c r="L16" s="1" t="str">
        <f t="shared" si="10"/>
        <v>(</v>
      </c>
      <c r="M16" s="1">
        <f t="shared" si="11"/>
        <v>1</v>
      </c>
      <c r="N16" s="1" t="str">
        <f t="shared" si="12"/>
        <v>)</v>
      </c>
      <c r="O16" s="1" t="str">
        <f t="shared" si="0"/>
        <v>DEFAULT 'Y'</v>
      </c>
      <c r="P16" s="1" t="str">
        <f t="shared" si="13"/>
        <v>NULL</v>
      </c>
      <c r="Q16" s="1" t="s">
        <v>113</v>
      </c>
      <c r="R16" s="1"/>
      <c r="S16" s="1" t="str">
        <f>"COMMENT ON COLUMN " &amp; C3 &amp; "." &amp; C16 &amp; " IS '" &amp; B16 &amp; "'"</f>
        <v>COMMENT ON COLUMN COMMON_CODE.USEFLAG IS '사용여부'</v>
      </c>
      <c r="X16" s="13" t="s">
        <v>771</v>
      </c>
    </row>
    <row r="17" spans="1:24" x14ac:dyDescent="0.3">
      <c r="A17" s="2"/>
      <c r="B17" s="2" t="s">
        <v>254</v>
      </c>
      <c r="C17" s="2" t="s">
        <v>791</v>
      </c>
      <c r="D17" s="2"/>
      <c r="E17" s="12" t="s">
        <v>587</v>
      </c>
      <c r="F17" s="2"/>
      <c r="G17" s="2" t="s">
        <v>122</v>
      </c>
      <c r="H17" s="12" t="s">
        <v>810</v>
      </c>
      <c r="I17" s="1"/>
      <c r="J17" s="1" t="str">
        <f t="shared" si="8"/>
        <v>INITDTTM</v>
      </c>
      <c r="K17" s="1" t="str">
        <f t="shared" si="9"/>
        <v>DATE</v>
      </c>
      <c r="L17" s="1" t="str">
        <f t="shared" si="10"/>
        <v/>
      </c>
      <c r="M17" s="1" t="str">
        <f t="shared" si="11"/>
        <v/>
      </c>
      <c r="N17" s="1" t="str">
        <f t="shared" si="12"/>
        <v/>
      </c>
      <c r="O17" s="1" t="str">
        <f t="shared" si="0"/>
        <v>DEFAULT SYSDATE</v>
      </c>
      <c r="P17" s="1" t="str">
        <f t="shared" si="13"/>
        <v>NULL</v>
      </c>
      <c r="Q17" s="1" t="s">
        <v>113</v>
      </c>
      <c r="R17" s="1"/>
      <c r="S17" s="1" t="str">
        <f>"COMMENT ON COLUMN " &amp; C3 &amp; "." &amp; C17 &amp; " IS '" &amp; B17 &amp; "'"</f>
        <v>COMMENT ON COLUMN COMMON_CODE.INITDTTM IS '입력일시'</v>
      </c>
      <c r="X17" s="13" t="s">
        <v>771</v>
      </c>
    </row>
    <row r="18" spans="1:24" x14ac:dyDescent="0.3">
      <c r="A18" s="2"/>
      <c r="B18" s="2" t="s">
        <v>111</v>
      </c>
      <c r="C18" s="2" t="s">
        <v>790</v>
      </c>
      <c r="D18" s="2"/>
      <c r="E18" s="2" t="s">
        <v>618</v>
      </c>
      <c r="F18" s="2">
        <v>50</v>
      </c>
      <c r="G18" s="2" t="s">
        <v>122</v>
      </c>
      <c r="H18" s="15"/>
      <c r="I18" s="1"/>
      <c r="J18" s="1" t="str">
        <f t="shared" si="8"/>
        <v>INITBY</v>
      </c>
      <c r="K18" s="1" t="str">
        <f t="shared" si="9"/>
        <v>NVARCHAR2</v>
      </c>
      <c r="L18" s="1" t="str">
        <f t="shared" si="10"/>
        <v>(</v>
      </c>
      <c r="M18" s="1">
        <f t="shared" si="11"/>
        <v>50</v>
      </c>
      <c r="N18" s="1" t="str">
        <f t="shared" si="12"/>
        <v>)</v>
      </c>
      <c r="O18" s="1" t="str">
        <f t="shared" si="0"/>
        <v/>
      </c>
      <c r="P18" s="1" t="str">
        <f t="shared" si="13"/>
        <v>NULL</v>
      </c>
      <c r="Q18" s="1" t="s">
        <v>113</v>
      </c>
      <c r="R18" s="1"/>
      <c r="S18" s="1" t="str">
        <f>"COMMENT ON COLUMN " &amp; C3 &amp; "." &amp; C18 &amp; " IS '" &amp; B18 &amp; "'"</f>
        <v>COMMENT ON COLUMN COMMON_CODE.INITBY IS '입력자'</v>
      </c>
      <c r="X18" s="13" t="s">
        <v>771</v>
      </c>
    </row>
    <row r="19" spans="1:24" x14ac:dyDescent="0.3">
      <c r="A19" s="2"/>
      <c r="B19" s="12" t="s">
        <v>259</v>
      </c>
      <c r="C19" s="12" t="s">
        <v>792</v>
      </c>
      <c r="D19" s="2"/>
      <c r="E19" s="2" t="s">
        <v>228</v>
      </c>
      <c r="F19" s="2"/>
      <c r="G19" s="2" t="s">
        <v>122</v>
      </c>
      <c r="H19" s="15"/>
      <c r="I19" s="1"/>
      <c r="J19" s="1" t="str">
        <f t="shared" ref="J19" si="21">""&amp;C19&amp;""</f>
        <v>UPDTTM</v>
      </c>
      <c r="K19" s="1" t="str">
        <f t="shared" ref="K19" si="22">""&amp;E19&amp;""</f>
        <v>DATE</v>
      </c>
      <c r="L19" s="1" t="str">
        <f t="shared" ref="L19" si="23">IF(F19="","","(")</f>
        <v/>
      </c>
      <c r="M19" s="1" t="str">
        <f t="shared" ref="M19" si="24">IF(F19="","",F19)</f>
        <v/>
      </c>
      <c r="N19" s="1" t="str">
        <f t="shared" ref="N19" si="25">IF(F19="","",")")</f>
        <v/>
      </c>
      <c r="O19" s="1" t="str">
        <f t="shared" ref="O19" si="26">IF(H19&lt;&gt;"","DEFAULT "&amp;H19,"")</f>
        <v/>
      </c>
      <c r="P19" s="1" t="str">
        <f t="shared" ref="P19" si="27">IF(G19="N","NOT NULL","NULL")</f>
        <v>NULL</v>
      </c>
      <c r="Q19" s="1" t="s">
        <v>113</v>
      </c>
      <c r="R19" s="1"/>
      <c r="S19" s="1" t="str">
        <f>"COMMENT ON COLUMN " &amp; C3 &amp; "." &amp; C19 &amp; " IS '" &amp; B19 &amp; "'"</f>
        <v>COMMENT ON COLUMN COMMON_CODE.UPDTTM IS '수정일시'</v>
      </c>
      <c r="X19" s="13" t="s">
        <v>771</v>
      </c>
    </row>
    <row r="20" spans="1:24" x14ac:dyDescent="0.3">
      <c r="A20" s="2"/>
      <c r="B20" s="2" t="s">
        <v>99</v>
      </c>
      <c r="C20" s="12" t="s">
        <v>793</v>
      </c>
      <c r="D20" s="2"/>
      <c r="E20" s="2" t="s">
        <v>618</v>
      </c>
      <c r="F20" s="2">
        <v>50</v>
      </c>
      <c r="G20" s="2" t="s">
        <v>122</v>
      </c>
      <c r="H20" s="15"/>
      <c r="I20" s="1"/>
      <c r="J20" s="1" t="str">
        <f t="shared" si="8"/>
        <v>UPBY</v>
      </c>
      <c r="K20" s="1" t="str">
        <f t="shared" si="9"/>
        <v>NVARCHAR2</v>
      </c>
      <c r="L20" s="1" t="str">
        <f t="shared" si="10"/>
        <v>(</v>
      </c>
      <c r="M20" s="1">
        <f t="shared" si="11"/>
        <v>50</v>
      </c>
      <c r="N20" s="1" t="str">
        <f t="shared" si="12"/>
        <v>)</v>
      </c>
      <c r="O20" s="1" t="str">
        <f t="shared" si="0"/>
        <v/>
      </c>
      <c r="P20" s="1" t="str">
        <f t="shared" si="13"/>
        <v>NULL</v>
      </c>
      <c r="Q20" s="21" t="s">
        <v>723</v>
      </c>
      <c r="R20" s="1"/>
      <c r="S20" s="1" t="str">
        <f>"COMMENT ON COLUMN " &amp; C3 &amp; "." &amp; C20 &amp; " IS '" &amp; B20 &amp; "'"</f>
        <v>COMMENT ON COLUMN COMMON_CODE.UPBY IS '수정자'</v>
      </c>
      <c r="X20" s="13" t="s">
        <v>771</v>
      </c>
    </row>
    <row r="21" spans="1:24" x14ac:dyDescent="0.3">
      <c r="J21" s="13" t="str">
        <f>"ALTER TABLE "&amp;C3&amp;""</f>
        <v>ALTER TABLE COMMON_CODE</v>
      </c>
    </row>
    <row r="22" spans="1:24" x14ac:dyDescent="0.3">
      <c r="J22" s="13" t="str" cm="1">
        <f t="array" ref="J22">"ADD CONSTRAINT PK_"&amp;C3&amp;" PRIMARY KEY (" &amp; _xlfn.TEXTJOIN(", ", TRUE, _xlfn._xlws.FILTER(C6:C65, A6:A65="Y")) &amp; ")"</f>
        <v>ADD CONSTRAINT PK_COMMON_CODE PRIMARY KEY (CODEVALUE, PCODEVALUE)</v>
      </c>
      <c r="Q22" s="13" t="s">
        <v>771</v>
      </c>
    </row>
  </sheetData>
  <phoneticPr fontId="7" type="noConversion"/>
  <hyperlinks>
    <hyperlink ref="A1" location="리스트!A1" display="리스트로 이동" xr:uid="{DF41A240-4754-482D-8641-1DF5AEC3A92E}"/>
  </hyperlinks>
  <pageMargins left="0.74805557727813721" right="0.74805557727813721" top="0.98430556058883667" bottom="0.98430556058883667" header="0.51166665554046631" footer="0.51166665554046631"/>
  <pageSetup paperSize="9" fitToWidth="0" fitToHeight="0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23"/>
  <dimension ref="A1:S20"/>
  <sheetViews>
    <sheetView zoomScaleNormal="100" zoomScaleSheetLayoutView="100" workbookViewId="0">
      <selection activeCell="J3" sqref="J3:Q3"/>
    </sheetView>
  </sheetViews>
  <sheetFormatPr defaultColWidth="9" defaultRowHeight="16.5" x14ac:dyDescent="0.3"/>
  <cols>
    <col min="1" max="1" width="8.625" bestFit="1" customWidth="1"/>
    <col min="2" max="2" width="13.75" bestFit="1" customWidth="1"/>
    <col min="3" max="3" width="25.125" bestFit="1" customWidth="1"/>
    <col min="4" max="4" width="26.5" bestFit="1" customWidth="1"/>
    <col min="5" max="5" width="12.75" bestFit="1" customWidth="1"/>
    <col min="6" max="6" width="6.75" bestFit="1" customWidth="1"/>
    <col min="7" max="7" width="9" bestFit="1" customWidth="1"/>
    <col min="9" max="9" width="2.625" customWidth="1"/>
    <col min="10" max="10" width="16.875" customWidth="1"/>
    <col min="11" max="11" width="12.75" bestFit="1" customWidth="1"/>
    <col min="12" max="12" width="13.125" bestFit="1" customWidth="1"/>
    <col min="13" max="13" width="1.625" bestFit="1" customWidth="1"/>
    <col min="14" max="15" width="10.125" bestFit="1" customWidth="1"/>
    <col min="16" max="16" width="16.875" customWidth="1"/>
  </cols>
  <sheetData>
    <row r="1" spans="1:19" x14ac:dyDescent="0.3">
      <c r="A1" s="16" t="s">
        <v>615</v>
      </c>
    </row>
    <row r="2" spans="1:19" x14ac:dyDescent="0.3">
      <c r="A2" s="2"/>
      <c r="B2" s="2" t="s">
        <v>116</v>
      </c>
      <c r="C2" s="2" t="s">
        <v>119</v>
      </c>
      <c r="D2" s="2" t="s">
        <v>112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3">
      <c r="A3" s="2"/>
      <c r="B3" s="2" t="s">
        <v>41</v>
      </c>
      <c r="C3" s="2" t="s">
        <v>644</v>
      </c>
      <c r="D3" s="2"/>
      <c r="E3" s="1"/>
      <c r="F3" s="1"/>
      <c r="G3" s="1"/>
      <c r="H3" s="1"/>
      <c r="I3" s="1"/>
      <c r="J3" s="13" t="str">
        <f>"DROP TABLE "&amp;C3&amp;" CASCADE CONSTRAINTS PURGE"</f>
        <v>DROP TABLE PROJECTS CASCADE CONSTRAINTS PURGE</v>
      </c>
      <c r="K3" s="1"/>
      <c r="L3" s="1"/>
      <c r="M3" s="1"/>
      <c r="N3" s="1"/>
      <c r="O3" s="1"/>
      <c r="P3" s="21"/>
      <c r="Q3" s="21" t="s">
        <v>771</v>
      </c>
      <c r="R3" s="1"/>
      <c r="S3" s="1"/>
    </row>
    <row r="4" spans="1:19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3">
      <c r="A5" s="2" t="s">
        <v>88</v>
      </c>
      <c r="B5" s="2" t="s">
        <v>215</v>
      </c>
      <c r="C5" s="2" t="s">
        <v>252</v>
      </c>
      <c r="D5" s="2" t="s">
        <v>169</v>
      </c>
      <c r="E5" s="2" t="s">
        <v>265</v>
      </c>
      <c r="F5" s="2" t="s">
        <v>101</v>
      </c>
      <c r="G5" s="2" t="s">
        <v>205</v>
      </c>
      <c r="H5" s="2" t="s">
        <v>569</v>
      </c>
      <c r="I5" s="1"/>
      <c r="J5" s="1" t="str">
        <f>"CREATE TABLE "&amp;C3&amp;" ("</f>
        <v>CREATE TABLE PROJECTS (</v>
      </c>
      <c r="K5" s="1"/>
      <c r="L5" s="1"/>
      <c r="M5" s="1"/>
      <c r="N5" s="1"/>
      <c r="O5" s="1"/>
      <c r="P5" s="1"/>
      <c r="Q5" s="1"/>
      <c r="R5" s="1"/>
      <c r="S5" s="1" t="str">
        <f>"COMMENT ON TABLE " &amp; C3 &amp; " IS '" &amp; SUBSTITUTE(B3,"'","''") &amp; "'"</f>
        <v>COMMENT ON TABLE PROJECTS IS '공사관리'</v>
      </c>
    </row>
    <row r="6" spans="1:19" s="1" customFormat="1" x14ac:dyDescent="0.3">
      <c r="A6" s="2" t="s">
        <v>122</v>
      </c>
      <c r="B6" s="2" t="s">
        <v>27</v>
      </c>
      <c r="C6" s="2" t="s">
        <v>528</v>
      </c>
      <c r="D6" s="2" t="s">
        <v>70</v>
      </c>
      <c r="E6" s="2" t="s">
        <v>618</v>
      </c>
      <c r="F6" s="2">
        <v>10</v>
      </c>
      <c r="G6" s="2" t="s">
        <v>90</v>
      </c>
      <c r="H6" s="2"/>
      <c r="J6" s="1" t="str">
        <f t="shared" ref="J6:J18" si="0">""&amp;C6&amp;""</f>
        <v>PLANT_CODE</v>
      </c>
      <c r="K6" s="1" t="str">
        <f t="shared" ref="K6:K18" si="1">""&amp;E6&amp;""</f>
        <v>NVARCHAR2</v>
      </c>
      <c r="L6" s="1" t="str">
        <f t="shared" ref="L6:L18" si="2">IF(F6="","","(")</f>
        <v>(</v>
      </c>
      <c r="M6" s="1">
        <f t="shared" ref="M6:M18" si="3">IF(F6="","",F6)</f>
        <v>10</v>
      </c>
      <c r="N6" s="1" t="str">
        <f t="shared" ref="N6:N18" si="4">IF(F6="","",")")</f>
        <v>)</v>
      </c>
      <c r="O6" s="1" t="str">
        <f>IF(G6="N","NOT NULL","NULL")</f>
        <v>NOT NULL</v>
      </c>
      <c r="P6" s="1" t="str">
        <f>IF(H6&lt;&gt;"","DEFAULT "&amp;H6,"")</f>
        <v/>
      </c>
      <c r="Q6" s="1" t="s">
        <v>113</v>
      </c>
      <c r="R6"/>
      <c r="S6" s="1" t="str">
        <f>"COMMENT ON COLUMN " &amp; C3 &amp; "." &amp; C6 &amp; " IS '" &amp; B6 &amp; "'"</f>
        <v>COMMENT ON COLUMN PROJECTS.PLANT_CODE IS '거래처'</v>
      </c>
    </row>
    <row r="7" spans="1:19" x14ac:dyDescent="0.3">
      <c r="A7" s="2" t="s">
        <v>122</v>
      </c>
      <c r="B7" s="2" t="s">
        <v>46</v>
      </c>
      <c r="C7" s="2" t="s">
        <v>199</v>
      </c>
      <c r="D7" s="2" t="s">
        <v>286</v>
      </c>
      <c r="E7" s="2" t="s">
        <v>545</v>
      </c>
      <c r="F7" s="2" t="s">
        <v>292</v>
      </c>
      <c r="G7" s="2" t="s">
        <v>90</v>
      </c>
      <c r="H7" s="2"/>
      <c r="I7" s="1"/>
      <c r="J7" s="1" t="str">
        <f t="shared" si="0"/>
        <v>PROJECT_CODE</v>
      </c>
      <c r="K7" s="1" t="str">
        <f t="shared" si="1"/>
        <v>NUMBER</v>
      </c>
      <c r="L7" s="1" t="str">
        <f t="shared" si="2"/>
        <v>(</v>
      </c>
      <c r="M7" s="1" t="str">
        <f t="shared" si="3"/>
        <v>IDENTITY (1,1)</v>
      </c>
      <c r="N7" s="1" t="str">
        <f t="shared" si="4"/>
        <v>)</v>
      </c>
      <c r="O7" s="1" t="str">
        <f t="shared" ref="O7:O18" si="5">IF(G7="N","NOT NULL","NULL")</f>
        <v>NOT NULL</v>
      </c>
      <c r="P7" s="1" t="str">
        <f t="shared" ref="P7:P18" si="6">IF(H7&lt;&gt;"","DEFAULT "&amp;H7,"")</f>
        <v/>
      </c>
      <c r="Q7" s="1" t="s">
        <v>113</v>
      </c>
      <c r="R7" s="1"/>
      <c r="S7" s="1" t="str">
        <f>"COMMENT ON COLUMN " &amp; C3 &amp; "." &amp; C7 &amp; " IS '" &amp; B7 &amp; "'"</f>
        <v>COMMENT ON COLUMN PROJECTS.PROJECT_CODE IS '공사코드'</v>
      </c>
    </row>
    <row r="8" spans="1:19" x14ac:dyDescent="0.3">
      <c r="A8" s="2"/>
      <c r="B8" s="2" t="s">
        <v>24</v>
      </c>
      <c r="C8" s="2" t="s">
        <v>181</v>
      </c>
      <c r="D8" s="2" t="s">
        <v>24</v>
      </c>
      <c r="E8" s="2" t="s">
        <v>618</v>
      </c>
      <c r="F8" s="2">
        <v>100</v>
      </c>
      <c r="G8" s="2" t="s">
        <v>90</v>
      </c>
      <c r="H8" s="2"/>
      <c r="I8" s="1"/>
      <c r="J8" s="1" t="str">
        <f t="shared" si="0"/>
        <v>PROJECT_NAME</v>
      </c>
      <c r="K8" s="1" t="str">
        <f t="shared" si="1"/>
        <v>NVARCHAR2</v>
      </c>
      <c r="L8" s="1" t="str">
        <f t="shared" si="2"/>
        <v>(</v>
      </c>
      <c r="M8" s="1">
        <f t="shared" si="3"/>
        <v>100</v>
      </c>
      <c r="N8" s="1" t="str">
        <f t="shared" si="4"/>
        <v>)</v>
      </c>
      <c r="O8" s="1" t="str">
        <f t="shared" si="5"/>
        <v>NOT NULL</v>
      </c>
      <c r="P8" s="1" t="str">
        <f t="shared" si="6"/>
        <v/>
      </c>
      <c r="Q8" s="1" t="s">
        <v>113</v>
      </c>
      <c r="R8" s="1"/>
      <c r="S8" s="1" t="str">
        <f>"COMMENT ON COLUMN " &amp; C3 &amp; "." &amp; C8 &amp; " IS '" &amp; B8 &amp; "'"</f>
        <v>COMMENT ON COLUMN PROJECTS.PROJECT_NAME IS '공사명'</v>
      </c>
    </row>
    <row r="9" spans="1:19" x14ac:dyDescent="0.3">
      <c r="A9" s="2"/>
      <c r="B9" s="2" t="s">
        <v>102</v>
      </c>
      <c r="C9" s="2" t="s">
        <v>176</v>
      </c>
      <c r="D9" s="2" t="s">
        <v>102</v>
      </c>
      <c r="E9" s="2" t="s">
        <v>228</v>
      </c>
      <c r="F9" s="2"/>
      <c r="G9" s="2" t="s">
        <v>122</v>
      </c>
      <c r="H9" s="2"/>
      <c r="I9" s="1"/>
      <c r="J9" s="1" t="str">
        <f t="shared" si="0"/>
        <v>CONTRACT_DATE</v>
      </c>
      <c r="K9" s="1" t="str">
        <f t="shared" si="1"/>
        <v>DATE</v>
      </c>
      <c r="L9" s="1" t="str">
        <f t="shared" si="2"/>
        <v/>
      </c>
      <c r="M9" s="1" t="str">
        <f t="shared" si="3"/>
        <v/>
      </c>
      <c r="N9" s="1" t="str">
        <f t="shared" si="4"/>
        <v/>
      </c>
      <c r="O9" s="1" t="str">
        <f t="shared" si="5"/>
        <v>NULL</v>
      </c>
      <c r="P9" s="1" t="str">
        <f t="shared" si="6"/>
        <v/>
      </c>
      <c r="Q9" s="1" t="s">
        <v>113</v>
      </c>
      <c r="R9" s="1"/>
      <c r="S9" s="1" t="str">
        <f>"COMMENT ON COLUMN " &amp; C3 &amp; "." &amp; C9 &amp; " IS '" &amp; B9 &amp; "'"</f>
        <v>COMMENT ON COLUMN PROJECTS.CONTRACT_DATE IS '계약일'</v>
      </c>
    </row>
    <row r="10" spans="1:19" s="1" customFormat="1" x14ac:dyDescent="0.3">
      <c r="A10" s="2"/>
      <c r="B10" s="2" t="s">
        <v>118</v>
      </c>
      <c r="C10" s="2" t="s">
        <v>248</v>
      </c>
      <c r="D10" s="2" t="s">
        <v>118</v>
      </c>
      <c r="E10" s="2" t="s">
        <v>247</v>
      </c>
      <c r="F10" s="2"/>
      <c r="G10" s="2" t="s">
        <v>122</v>
      </c>
      <c r="H10" s="2"/>
      <c r="J10" s="1" t="str">
        <f t="shared" si="0"/>
        <v>AMOUNT</v>
      </c>
      <c r="K10" s="1" t="str">
        <f t="shared" si="1"/>
        <v>BIGINT</v>
      </c>
      <c r="L10" s="1" t="str">
        <f t="shared" si="2"/>
        <v/>
      </c>
      <c r="M10" s="1" t="str">
        <f t="shared" si="3"/>
        <v/>
      </c>
      <c r="N10" s="1" t="str">
        <f t="shared" si="4"/>
        <v/>
      </c>
      <c r="O10" s="1" t="str">
        <f t="shared" si="5"/>
        <v>NULL</v>
      </c>
      <c r="P10" s="1" t="str">
        <f t="shared" si="6"/>
        <v/>
      </c>
      <c r="Q10" s="1" t="s">
        <v>113</v>
      </c>
      <c r="S10" s="1" t="str">
        <f>"COMMENT ON COLUMN " &amp; C3 &amp; "." &amp; C10 &amp; " IS '" &amp; B10 &amp; "'"</f>
        <v>COMMENT ON COLUMN PROJECTS.AMOUNT IS '계약금'</v>
      </c>
    </row>
    <row r="11" spans="1:19" s="1" customFormat="1" x14ac:dyDescent="0.3">
      <c r="A11" s="2"/>
      <c r="B11" s="2" t="s">
        <v>241</v>
      </c>
      <c r="C11" s="2" t="s">
        <v>73</v>
      </c>
      <c r="D11" s="2" t="s">
        <v>241</v>
      </c>
      <c r="E11" s="2" t="s">
        <v>247</v>
      </c>
      <c r="F11" s="2"/>
      <c r="G11" s="2" t="s">
        <v>122</v>
      </c>
      <c r="H11" s="2"/>
      <c r="J11" s="1" t="str">
        <f t="shared" si="0"/>
        <v>TOTAL_AMOUNT_RECEIVED</v>
      </c>
      <c r="K11" s="1" t="str">
        <f t="shared" si="1"/>
        <v>BIGINT</v>
      </c>
      <c r="L11" s="1" t="str">
        <f t="shared" si="2"/>
        <v/>
      </c>
      <c r="M11" s="1" t="str">
        <f t="shared" si="3"/>
        <v/>
      </c>
      <c r="N11" s="1" t="str">
        <f t="shared" si="4"/>
        <v/>
      </c>
      <c r="O11" s="1" t="str">
        <f t="shared" si="5"/>
        <v>NULL</v>
      </c>
      <c r="P11" s="1" t="str">
        <f t="shared" si="6"/>
        <v/>
      </c>
      <c r="Q11" s="1" t="s">
        <v>113</v>
      </c>
      <c r="S11" s="1" t="str">
        <f>"COMMENT ON COLUMN " &amp; C3 &amp; "." &amp; C11 &amp; " IS '" &amp; B11 &amp; "'"</f>
        <v>COMMENT ON COLUMN PROJECTS.TOTAL_AMOUNT_RECEIVED IS '수입총액'</v>
      </c>
    </row>
    <row r="12" spans="1:19" s="1" customFormat="1" x14ac:dyDescent="0.3">
      <c r="A12" s="2"/>
      <c r="B12" s="2" t="s">
        <v>97</v>
      </c>
      <c r="C12" s="2" t="s">
        <v>129</v>
      </c>
      <c r="D12" s="2" t="s">
        <v>97</v>
      </c>
      <c r="E12" s="2" t="s">
        <v>247</v>
      </c>
      <c r="F12" s="2"/>
      <c r="G12" s="2" t="s">
        <v>122</v>
      </c>
      <c r="H12" s="2"/>
      <c r="J12" s="1" t="str">
        <f t="shared" si="0"/>
        <v>AMOUNT_REMAINING</v>
      </c>
      <c r="K12" s="1" t="str">
        <f t="shared" si="1"/>
        <v>BIGINT</v>
      </c>
      <c r="L12" s="1" t="str">
        <f t="shared" si="2"/>
        <v/>
      </c>
      <c r="M12" s="1" t="str">
        <f t="shared" si="3"/>
        <v/>
      </c>
      <c r="N12" s="1" t="str">
        <f t="shared" si="4"/>
        <v/>
      </c>
      <c r="O12" s="1" t="str">
        <f t="shared" si="5"/>
        <v>NULL</v>
      </c>
      <c r="P12" s="1" t="str">
        <f t="shared" si="6"/>
        <v/>
      </c>
      <c r="Q12" s="1" t="s">
        <v>113</v>
      </c>
      <c r="S12" s="1" t="str">
        <f>"COMMENT ON COLUMN " &amp; C3 &amp; "." &amp; C12 &amp; " IS '" &amp; B12 &amp; "'"</f>
        <v>COMMENT ON COLUMN PROJECTS.AMOUNT_REMAINING IS '잔금'</v>
      </c>
    </row>
    <row r="13" spans="1:19" s="1" customFormat="1" x14ac:dyDescent="0.3">
      <c r="A13" s="2"/>
      <c r="B13" s="2" t="s">
        <v>246</v>
      </c>
      <c r="C13" s="2" t="s">
        <v>180</v>
      </c>
      <c r="D13" s="2" t="s">
        <v>246</v>
      </c>
      <c r="E13" s="2" t="s">
        <v>232</v>
      </c>
      <c r="F13" s="2"/>
      <c r="G13" s="2" t="s">
        <v>122</v>
      </c>
      <c r="H13" s="2"/>
      <c r="J13" s="1" t="str">
        <f t="shared" si="0"/>
        <v>DEPOSIT_RATIO</v>
      </c>
      <c r="K13" s="1" t="str">
        <f t="shared" si="1"/>
        <v>REAL</v>
      </c>
      <c r="L13" s="1" t="str">
        <f t="shared" si="2"/>
        <v/>
      </c>
      <c r="M13" s="1" t="str">
        <f t="shared" si="3"/>
        <v/>
      </c>
      <c r="N13" s="1" t="str">
        <f t="shared" si="4"/>
        <v/>
      </c>
      <c r="O13" s="1" t="str">
        <f t="shared" si="5"/>
        <v>NULL</v>
      </c>
      <c r="P13" s="1" t="str">
        <f t="shared" si="6"/>
        <v/>
      </c>
      <c r="Q13" s="1" t="s">
        <v>113</v>
      </c>
      <c r="S13" s="1" t="str">
        <f>"COMMENT ON COLUMN " &amp; C3 &amp; "." &amp; C13 &amp; " IS '" &amp; B13 &amp; "'"</f>
        <v>COMMENT ON COLUMN PROJECTS.DEPOSIT_RATIO IS '입금비율'</v>
      </c>
    </row>
    <row r="14" spans="1:19" x14ac:dyDescent="0.3">
      <c r="A14" s="2"/>
      <c r="B14" s="2" t="s">
        <v>96</v>
      </c>
      <c r="C14" s="2" t="s">
        <v>155</v>
      </c>
      <c r="D14" s="2" t="s">
        <v>96</v>
      </c>
      <c r="E14" s="2" t="s">
        <v>618</v>
      </c>
      <c r="F14" s="2" t="s">
        <v>109</v>
      </c>
      <c r="G14" s="2" t="s">
        <v>122</v>
      </c>
      <c r="H14" s="2"/>
      <c r="I14" s="1"/>
      <c r="J14" s="1" t="str">
        <f t="shared" si="0"/>
        <v>PROJECT_DEC</v>
      </c>
      <c r="K14" s="1" t="str">
        <f t="shared" si="1"/>
        <v>NVARCHAR2</v>
      </c>
      <c r="L14" s="1" t="str">
        <f t="shared" si="2"/>
        <v>(</v>
      </c>
      <c r="M14" s="1" t="str">
        <f t="shared" si="3"/>
        <v>MAX</v>
      </c>
      <c r="N14" s="1" t="str">
        <f t="shared" si="4"/>
        <v>)</v>
      </c>
      <c r="O14" s="1" t="str">
        <f t="shared" si="5"/>
        <v>NULL</v>
      </c>
      <c r="P14" s="1" t="str">
        <f t="shared" si="6"/>
        <v/>
      </c>
      <c r="Q14" s="1" t="s">
        <v>113</v>
      </c>
      <c r="R14" s="1"/>
      <c r="S14" s="1" t="str">
        <f>"COMMENT ON COLUMN " &amp; C3 &amp; "." &amp; C14 &amp; " IS '" &amp; B14 &amp; "'"</f>
        <v>COMMENT ON COLUMN PROJECTS.PROJECT_DEC IS '메모'</v>
      </c>
    </row>
    <row r="15" spans="1:19" x14ac:dyDescent="0.3">
      <c r="A15" s="2"/>
      <c r="B15" s="2" t="s">
        <v>111</v>
      </c>
      <c r="C15" s="2" t="s">
        <v>790</v>
      </c>
      <c r="D15" s="2" t="s">
        <v>188</v>
      </c>
      <c r="E15" s="2" t="s">
        <v>618</v>
      </c>
      <c r="F15" s="2">
        <v>20</v>
      </c>
      <c r="G15" s="2" t="s">
        <v>90</v>
      </c>
      <c r="H15" s="2"/>
      <c r="I15" s="1"/>
      <c r="J15" s="1" t="str">
        <f t="shared" si="0"/>
        <v>INITBY</v>
      </c>
      <c r="K15" s="1" t="str">
        <f t="shared" si="1"/>
        <v>NVARCHAR2</v>
      </c>
      <c r="L15" s="1" t="str">
        <f t="shared" si="2"/>
        <v>(</v>
      </c>
      <c r="M15" s="1">
        <f t="shared" si="3"/>
        <v>20</v>
      </c>
      <c r="N15" s="1" t="str">
        <f t="shared" si="4"/>
        <v>)</v>
      </c>
      <c r="O15" s="1" t="str">
        <f t="shared" si="5"/>
        <v>NOT NULL</v>
      </c>
      <c r="P15" s="1" t="str">
        <f t="shared" si="6"/>
        <v/>
      </c>
      <c r="Q15" s="1" t="s">
        <v>113</v>
      </c>
      <c r="R15" s="1"/>
      <c r="S15" s="1" t="str">
        <f>"COMMENT ON COLUMN " &amp; C3 &amp; "." &amp; C15 &amp; " IS '" &amp; B15 &amp; "'"</f>
        <v>COMMENT ON COLUMN PROJECTS.INITBY IS '입력자'</v>
      </c>
    </row>
    <row r="16" spans="1:19" x14ac:dyDescent="0.3">
      <c r="A16" s="2"/>
      <c r="B16" s="2" t="s">
        <v>254</v>
      </c>
      <c r="C16" s="2" t="s">
        <v>791</v>
      </c>
      <c r="D16" s="2" t="s">
        <v>254</v>
      </c>
      <c r="E16" s="2" t="s">
        <v>228</v>
      </c>
      <c r="F16" s="2"/>
      <c r="G16" s="2" t="s">
        <v>90</v>
      </c>
      <c r="H16" s="2"/>
      <c r="I16" s="1"/>
      <c r="J16" s="1" t="str">
        <f t="shared" si="0"/>
        <v>INITDTTM</v>
      </c>
      <c r="K16" s="1" t="str">
        <f t="shared" si="1"/>
        <v>DATE</v>
      </c>
      <c r="L16" s="1" t="str">
        <f t="shared" si="2"/>
        <v/>
      </c>
      <c r="M16" s="1" t="str">
        <f t="shared" si="3"/>
        <v/>
      </c>
      <c r="N16" s="1" t="str">
        <f t="shared" si="4"/>
        <v/>
      </c>
      <c r="O16" s="1" t="str">
        <f t="shared" si="5"/>
        <v>NOT NULL</v>
      </c>
      <c r="P16" s="1" t="str">
        <f t="shared" si="6"/>
        <v/>
      </c>
      <c r="Q16" s="1" t="s">
        <v>113</v>
      </c>
      <c r="R16" s="1"/>
      <c r="S16" s="1" t="str">
        <f>"COMMENT ON COLUMN " &amp; C3 &amp; "." &amp; C16 &amp; " IS '" &amp; B16 &amp; "'"</f>
        <v>COMMENT ON COLUMN PROJECTS.INITDTTM IS '입력일시'</v>
      </c>
    </row>
    <row r="17" spans="1:19" x14ac:dyDescent="0.3">
      <c r="A17" s="2"/>
      <c r="B17" s="2" t="s">
        <v>99</v>
      </c>
      <c r="C17" s="2" t="s">
        <v>793</v>
      </c>
      <c r="D17" s="2" t="s">
        <v>197</v>
      </c>
      <c r="E17" s="2" t="s">
        <v>618</v>
      </c>
      <c r="F17" s="2">
        <v>20</v>
      </c>
      <c r="G17" s="2" t="s">
        <v>122</v>
      </c>
      <c r="H17" s="2"/>
      <c r="I17" s="1"/>
      <c r="J17" s="1" t="str">
        <f t="shared" si="0"/>
        <v>UPBY</v>
      </c>
      <c r="K17" s="1" t="str">
        <f t="shared" si="1"/>
        <v>NVARCHAR2</v>
      </c>
      <c r="L17" s="1" t="str">
        <f t="shared" si="2"/>
        <v>(</v>
      </c>
      <c r="M17" s="1">
        <f t="shared" si="3"/>
        <v>20</v>
      </c>
      <c r="N17" s="1" t="str">
        <f t="shared" si="4"/>
        <v>)</v>
      </c>
      <c r="O17" s="1" t="str">
        <f t="shared" si="5"/>
        <v>NULL</v>
      </c>
      <c r="P17" s="1" t="str">
        <f t="shared" si="6"/>
        <v/>
      </c>
      <c r="Q17" s="1" t="s">
        <v>113</v>
      </c>
      <c r="R17" s="1"/>
      <c r="S17" s="1" t="str">
        <f>"COMMENT ON COLUMN " &amp; C3 &amp; "." &amp; C17 &amp; " IS '" &amp; B17 &amp; "'"</f>
        <v>COMMENT ON COLUMN PROJECTS.UPBY IS '수정자'</v>
      </c>
    </row>
    <row r="18" spans="1:19" x14ac:dyDescent="0.3">
      <c r="A18" s="2"/>
      <c r="B18" s="2" t="s">
        <v>259</v>
      </c>
      <c r="C18" s="2" t="s">
        <v>792</v>
      </c>
      <c r="D18" s="2" t="s">
        <v>259</v>
      </c>
      <c r="E18" s="2" t="s">
        <v>228</v>
      </c>
      <c r="F18" s="2"/>
      <c r="G18" s="2" t="s">
        <v>122</v>
      </c>
      <c r="H18" s="2"/>
      <c r="I18" s="1"/>
      <c r="J18" s="1" t="str">
        <f t="shared" si="0"/>
        <v>UPDTTM</v>
      </c>
      <c r="K18" s="1" t="str">
        <f t="shared" si="1"/>
        <v>DATE</v>
      </c>
      <c r="L18" s="1" t="str">
        <f t="shared" si="2"/>
        <v/>
      </c>
      <c r="M18" s="1" t="str">
        <f t="shared" si="3"/>
        <v/>
      </c>
      <c r="N18" s="1" t="str">
        <f t="shared" si="4"/>
        <v/>
      </c>
      <c r="O18" s="1" t="str">
        <f t="shared" si="5"/>
        <v>NULL</v>
      </c>
      <c r="P18" s="1" t="str">
        <f t="shared" si="6"/>
        <v/>
      </c>
      <c r="Q18" s="21" t="s">
        <v>723</v>
      </c>
      <c r="R18" s="1"/>
      <c r="S18" s="1" t="str">
        <f>"COMMENT ON COLUMN " &amp; C3 &amp; "." &amp; C18 &amp; " IS '" &amp; B18 &amp; "'"</f>
        <v>COMMENT ON COLUMN PROJECTS.UPDTTM IS '수정일시'</v>
      </c>
    </row>
    <row r="19" spans="1:19" x14ac:dyDescent="0.3">
      <c r="J19" s="13" t="str">
        <f>"ALTER TABLE "&amp;C3&amp;""</f>
        <v>ALTER TABLE PROJECTS</v>
      </c>
    </row>
    <row r="20" spans="1:19" x14ac:dyDescent="0.3">
      <c r="J20" s="13" t="str" cm="1">
        <f t="array" ref="J20">"ADD CONSTRAINT PK_"&amp;C3&amp;"
PRIMARY KEY (" &amp; _xlfn.TEXTJOIN(", ", TRUE, _xlfn._xlws.FILTER(C6:C63, A6:A63="Y")) &amp; ")"</f>
        <v>ADD CONSTRAINT PK_PROJECTS
PRIMARY KEY (PLANT_CODE, PROJECT_CODE)</v>
      </c>
    </row>
  </sheetData>
  <phoneticPr fontId="7" type="noConversion"/>
  <hyperlinks>
    <hyperlink ref="A1" location="리스트!A1" display="리스트로 이동" xr:uid="{52DB86DD-FE97-46F7-90D7-B160894F8C89}"/>
  </hyperlinks>
  <pageMargins left="0.74805557727813721" right="0.74805557727813721" top="0.98430556058883667" bottom="0.98430556058883667" header="0.51166665554046631" footer="0.51166665554046631"/>
  <pageSetup paperSize="9" fitToWidth="0" fitToHeight="0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22"/>
  <dimension ref="A1:R18"/>
  <sheetViews>
    <sheetView zoomScaleNormal="100" zoomScaleSheetLayoutView="100" workbookViewId="0">
      <selection activeCell="I3" sqref="I3:P3"/>
    </sheetView>
  </sheetViews>
  <sheetFormatPr defaultColWidth="9" defaultRowHeight="16.5" x14ac:dyDescent="0.3"/>
  <cols>
    <col min="1" max="1" width="8.625" bestFit="1" customWidth="1"/>
    <col min="2" max="2" width="13.75" bestFit="1" customWidth="1"/>
    <col min="3" max="3" width="22.75" bestFit="1" customWidth="1"/>
    <col min="4" max="4" width="19.375" bestFit="1" customWidth="1"/>
    <col min="5" max="5" width="12.75" bestFit="1" customWidth="1"/>
    <col min="6" max="6" width="13.75" bestFit="1" customWidth="1"/>
    <col min="7" max="7" width="9" bestFit="1" customWidth="1"/>
    <col min="9" max="10" width="16.875" customWidth="1"/>
    <col min="11" max="11" width="1.625" bestFit="1" customWidth="1"/>
    <col min="12" max="12" width="3" bestFit="1" customWidth="1"/>
    <col min="13" max="13" width="1.625" bestFit="1" customWidth="1"/>
    <col min="14" max="15" width="10.125" bestFit="1" customWidth="1"/>
    <col min="16" max="16" width="16.875" customWidth="1"/>
  </cols>
  <sheetData>
    <row r="1" spans="1:18" x14ac:dyDescent="0.3">
      <c r="A1" s="16" t="s">
        <v>615</v>
      </c>
    </row>
    <row r="2" spans="1:18" x14ac:dyDescent="0.3">
      <c r="A2" s="2"/>
      <c r="B2" s="2" t="s">
        <v>116</v>
      </c>
      <c r="C2" s="2" t="s">
        <v>119</v>
      </c>
      <c r="D2" s="2" t="s">
        <v>112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8" x14ac:dyDescent="0.3">
      <c r="A3" s="2"/>
      <c r="B3" s="2" t="s">
        <v>32</v>
      </c>
      <c r="C3" s="12" t="s">
        <v>645</v>
      </c>
      <c r="D3" s="2"/>
      <c r="E3" s="1"/>
      <c r="F3" s="1"/>
      <c r="G3" s="1"/>
      <c r="H3" s="1"/>
      <c r="I3" s="13" t="str">
        <f>"DROP TABLE "&amp;B3&amp;" CASCADE CONSTRAINTS PURGE"</f>
        <v>DROP TABLE 공사대금 관리 CASCADE CONSTRAINTS PURGE</v>
      </c>
      <c r="J3" s="1"/>
      <c r="K3" s="1"/>
      <c r="L3" s="1"/>
      <c r="M3" s="1"/>
      <c r="N3" s="1"/>
      <c r="O3" s="21"/>
      <c r="P3" s="21" t="s">
        <v>771</v>
      </c>
      <c r="Q3" s="1"/>
    </row>
    <row r="4" spans="1:18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8" x14ac:dyDescent="0.3">
      <c r="A5" s="2" t="s">
        <v>88</v>
      </c>
      <c r="B5" s="2" t="s">
        <v>215</v>
      </c>
      <c r="C5" s="2" t="s">
        <v>252</v>
      </c>
      <c r="D5" s="2" t="s">
        <v>169</v>
      </c>
      <c r="E5" s="2" t="s">
        <v>265</v>
      </c>
      <c r="F5" s="2" t="s">
        <v>101</v>
      </c>
      <c r="G5" s="2" t="s">
        <v>205</v>
      </c>
      <c r="H5" s="1"/>
      <c r="I5" s="1" t="str">
        <f>"CREATE TABLE "&amp;B3&amp;" ("</f>
        <v>CREATE TABLE 공사대금 관리 (</v>
      </c>
      <c r="J5" s="1"/>
      <c r="K5" s="1"/>
      <c r="L5" s="1"/>
      <c r="M5" s="1"/>
      <c r="N5" s="1"/>
      <c r="O5" s="1"/>
      <c r="P5" s="1"/>
      <c r="Q5" s="1"/>
      <c r="R5" s="1" t="e">
        <f>"COMMENT ON TABLE " &amp; B3 &amp; " IS '" &amp; SUBSTITUTE(#REF!,"'","''") &amp; "'"</f>
        <v>#REF!</v>
      </c>
    </row>
    <row r="6" spans="1:18" s="1" customFormat="1" x14ac:dyDescent="0.3">
      <c r="A6" s="2" t="s">
        <v>122</v>
      </c>
      <c r="B6" s="2" t="s">
        <v>93</v>
      </c>
      <c r="C6" s="2" t="s">
        <v>95</v>
      </c>
      <c r="D6" s="2" t="s">
        <v>225</v>
      </c>
      <c r="E6" s="2" t="s">
        <v>545</v>
      </c>
      <c r="F6" s="2" t="s">
        <v>198</v>
      </c>
      <c r="G6" s="2" t="s">
        <v>90</v>
      </c>
      <c r="I6" s="1" t="str">
        <f t="shared" ref="I6:I16" si="0">""&amp;B6&amp;""</f>
        <v>키</v>
      </c>
      <c r="J6" s="1" t="str">
        <f t="shared" ref="J6:J16" si="1">""&amp;D6&amp;""</f>
        <v>키(자동증가)</v>
      </c>
      <c r="K6" s="1" t="str">
        <f t="shared" ref="K6:K16" si="2">IF(E6="","","(")</f>
        <v>(</v>
      </c>
      <c r="L6" s="1" t="str">
        <f t="shared" ref="L6:L16" si="3">IF(E6="","",E6)</f>
        <v>NUMBER</v>
      </c>
      <c r="M6" s="1" t="str">
        <f t="shared" ref="M6:M16" si="4">IF(E6="","",")")</f>
        <v>)</v>
      </c>
      <c r="N6" s="1" t="str">
        <f>IF(F6="N","NOT NULL","NULL")</f>
        <v>NULL</v>
      </c>
      <c r="O6" s="1" t="str">
        <f>IF(G6&lt;&gt;"","DEFAULT "&amp;G6,"")</f>
        <v>DEFAULT N</v>
      </c>
      <c r="P6" s="1" t="s">
        <v>113</v>
      </c>
      <c r="Q6"/>
      <c r="R6" s="1" t="str">
        <f>"COMMENT ON COLUMN " &amp; C3 &amp; "." &amp; C6 &amp; " IS '" &amp; B6 &amp; "'"</f>
        <v>COMMENT ON COLUMN PROJECT_MANAGEMENT.SEQ IS '키'</v>
      </c>
    </row>
    <row r="7" spans="1:18" x14ac:dyDescent="0.3">
      <c r="A7" s="2"/>
      <c r="B7" s="2" t="s">
        <v>229</v>
      </c>
      <c r="C7" s="2" t="s">
        <v>199</v>
      </c>
      <c r="D7" s="2" t="s">
        <v>229</v>
      </c>
      <c r="E7" s="2" t="s">
        <v>545</v>
      </c>
      <c r="F7" s="2">
        <v>10</v>
      </c>
      <c r="G7" s="2" t="s">
        <v>90</v>
      </c>
      <c r="H7" s="1"/>
      <c r="I7" s="1" t="str">
        <f t="shared" si="0"/>
        <v>프로젝트코드</v>
      </c>
      <c r="J7" s="1" t="str">
        <f t="shared" si="1"/>
        <v>프로젝트코드</v>
      </c>
      <c r="K7" s="1" t="str">
        <f t="shared" si="2"/>
        <v>(</v>
      </c>
      <c r="L7" s="1" t="str">
        <f t="shared" si="3"/>
        <v>NUMBER</v>
      </c>
      <c r="M7" s="1" t="str">
        <f t="shared" si="4"/>
        <v>)</v>
      </c>
      <c r="N7" s="1" t="str">
        <f t="shared" ref="N7:N16" si="5">IF(F7="N","NOT NULL","NULL")</f>
        <v>NULL</v>
      </c>
      <c r="O7" s="1" t="str">
        <f t="shared" ref="O7:O16" si="6">IF(G7&lt;&gt;"","DEFAULT "&amp;G7,"")</f>
        <v>DEFAULT N</v>
      </c>
      <c r="P7" s="1" t="s">
        <v>113</v>
      </c>
      <c r="Q7" s="1"/>
      <c r="R7" s="1" t="str">
        <f>"COMMENT ON COLUMN " &amp; C3 &amp; "." &amp; C7 &amp; " IS '" &amp; B7 &amp; "'"</f>
        <v>COMMENT ON COLUMN PROJECT_MANAGEMENT.PROJECT_CODE IS '프로젝트코드'</v>
      </c>
    </row>
    <row r="8" spans="1:18" x14ac:dyDescent="0.3">
      <c r="A8" s="2"/>
      <c r="B8" s="2" t="s">
        <v>227</v>
      </c>
      <c r="C8" s="2" t="s">
        <v>185</v>
      </c>
      <c r="D8" s="2" t="s">
        <v>305</v>
      </c>
      <c r="E8" s="2" t="s">
        <v>247</v>
      </c>
      <c r="F8" s="2"/>
      <c r="G8" s="2" t="s">
        <v>122</v>
      </c>
      <c r="H8" s="1"/>
      <c r="I8" s="1" t="str">
        <f t="shared" si="0"/>
        <v>수입금액</v>
      </c>
      <c r="J8" s="1" t="str">
        <f t="shared" si="1"/>
        <v>수입금액[받은금액]</v>
      </c>
      <c r="K8" s="1" t="str">
        <f t="shared" si="2"/>
        <v>(</v>
      </c>
      <c r="L8" s="1" t="str">
        <f t="shared" si="3"/>
        <v>BIGINT</v>
      </c>
      <c r="M8" s="1" t="str">
        <f t="shared" si="4"/>
        <v>)</v>
      </c>
      <c r="N8" s="1" t="str">
        <f t="shared" si="5"/>
        <v>NULL</v>
      </c>
      <c r="O8" s="1" t="str">
        <f t="shared" si="6"/>
        <v>DEFAULT Y</v>
      </c>
      <c r="P8" s="1" t="s">
        <v>113</v>
      </c>
      <c r="Q8" s="1"/>
      <c r="R8" s="1" t="str">
        <f>"COMMENT ON COLUMN " &amp; C3 &amp; "." &amp; C8 &amp; " IS '" &amp; B8 &amp; "'"</f>
        <v>COMMENT ON COLUMN PROJECT_MANAGEMENT.AMOUNT_RECEIVED IS '수입금액'</v>
      </c>
    </row>
    <row r="9" spans="1:18" s="1" customFormat="1" x14ac:dyDescent="0.3">
      <c r="A9" s="2"/>
      <c r="B9" s="2" t="s">
        <v>233</v>
      </c>
      <c r="C9" s="2" t="s">
        <v>134</v>
      </c>
      <c r="D9" s="2" t="s">
        <v>233</v>
      </c>
      <c r="E9" s="2" t="s">
        <v>618</v>
      </c>
      <c r="F9" s="2">
        <v>50</v>
      </c>
      <c r="G9" s="2" t="s">
        <v>122</v>
      </c>
      <c r="I9" s="1" t="str">
        <f t="shared" si="0"/>
        <v>세계발행일</v>
      </c>
      <c r="J9" s="1" t="str">
        <f t="shared" si="1"/>
        <v>세계발행일</v>
      </c>
      <c r="K9" s="1" t="str">
        <f t="shared" si="2"/>
        <v>(</v>
      </c>
      <c r="L9" s="1" t="str">
        <f t="shared" si="3"/>
        <v>NVARCHAR2</v>
      </c>
      <c r="M9" s="1" t="str">
        <f t="shared" si="4"/>
        <v>)</v>
      </c>
      <c r="N9" s="1" t="str">
        <f t="shared" si="5"/>
        <v>NULL</v>
      </c>
      <c r="O9" s="1" t="str">
        <f t="shared" si="6"/>
        <v>DEFAULT Y</v>
      </c>
      <c r="P9" s="1" t="s">
        <v>113</v>
      </c>
      <c r="R9" s="1" t="str">
        <f>"COMMENT ON COLUMN " &amp; C3 &amp; "." &amp; C9 &amp; " IS '" &amp; B9 &amp; "'"</f>
        <v>COMMENT ON COLUMN PROJECT_MANAGEMENT.TAXINVOICE_CHECK IS '세계발행일'</v>
      </c>
    </row>
    <row r="10" spans="1:18" s="1" customFormat="1" x14ac:dyDescent="0.3">
      <c r="A10" s="2"/>
      <c r="B10" s="2" t="s">
        <v>30</v>
      </c>
      <c r="C10" s="2" t="s">
        <v>182</v>
      </c>
      <c r="D10" s="2" t="s">
        <v>30</v>
      </c>
      <c r="E10" s="2" t="s">
        <v>618</v>
      </c>
      <c r="F10" s="2">
        <v>8</v>
      </c>
      <c r="G10" s="2" t="s">
        <v>122</v>
      </c>
      <c r="I10" s="1" t="str">
        <f t="shared" si="0"/>
        <v>입급 월</v>
      </c>
      <c r="J10" s="1" t="str">
        <f t="shared" si="1"/>
        <v>입급 월</v>
      </c>
      <c r="K10" s="1" t="str">
        <f t="shared" si="2"/>
        <v>(</v>
      </c>
      <c r="L10" s="1" t="str">
        <f t="shared" si="3"/>
        <v>NVARCHAR2</v>
      </c>
      <c r="M10" s="1" t="str">
        <f t="shared" si="4"/>
        <v>)</v>
      </c>
      <c r="N10" s="1" t="str">
        <f t="shared" si="5"/>
        <v>NULL</v>
      </c>
      <c r="O10" s="1" t="str">
        <f t="shared" si="6"/>
        <v>DEFAULT Y</v>
      </c>
      <c r="P10" s="1" t="s">
        <v>113</v>
      </c>
      <c r="R10" s="1" t="str">
        <f>"COMMENT ON COLUMN " &amp; C3 &amp; "." &amp; C10 &amp; " IS '" &amp; B10 &amp; "'"</f>
        <v>COMMENT ON COLUMN PROJECT_MANAGEMENT.DEPOSIT_MONTH IS '입급 월'</v>
      </c>
    </row>
    <row r="11" spans="1:18" x14ac:dyDescent="0.3">
      <c r="A11" s="2"/>
      <c r="B11" s="2" t="s">
        <v>48</v>
      </c>
      <c r="C11" s="2" t="s">
        <v>179</v>
      </c>
      <c r="D11" s="2" t="s">
        <v>48</v>
      </c>
      <c r="E11" s="2" t="s">
        <v>618</v>
      </c>
      <c r="F11" s="2">
        <v>10</v>
      </c>
      <c r="G11" s="2" t="s">
        <v>122</v>
      </c>
      <c r="H11" s="1"/>
      <c r="I11" s="1" t="str">
        <f t="shared" si="0"/>
        <v>입금타입</v>
      </c>
      <c r="J11" s="1" t="str">
        <f t="shared" si="1"/>
        <v>입금타입</v>
      </c>
      <c r="K11" s="1" t="str">
        <f t="shared" si="2"/>
        <v>(</v>
      </c>
      <c r="L11" s="1" t="str">
        <f t="shared" si="3"/>
        <v>NVARCHAR2</v>
      </c>
      <c r="M11" s="1" t="str">
        <f t="shared" si="4"/>
        <v>)</v>
      </c>
      <c r="N11" s="1" t="str">
        <f t="shared" si="5"/>
        <v>NULL</v>
      </c>
      <c r="O11" s="1" t="str">
        <f t="shared" si="6"/>
        <v>DEFAULT Y</v>
      </c>
      <c r="P11" s="1" t="s">
        <v>113</v>
      </c>
      <c r="Q11" s="1"/>
      <c r="R11" s="1" t="str">
        <f>"COMMENT ON COLUMN " &amp; C3 &amp; "." &amp; C11 &amp; " IS '" &amp; B11 &amp; "'"</f>
        <v>COMMENT ON COLUMN PROJECT_MANAGEMENT.DEPOSIT_TYPE IS '입금타입'</v>
      </c>
    </row>
    <row r="12" spans="1:18" s="1" customFormat="1" x14ac:dyDescent="0.3">
      <c r="A12" s="2"/>
      <c r="B12" s="2" t="s">
        <v>45</v>
      </c>
      <c r="C12" s="2" t="s">
        <v>155</v>
      </c>
      <c r="D12" s="2" t="s">
        <v>45</v>
      </c>
      <c r="E12" s="2" t="s">
        <v>618</v>
      </c>
      <c r="F12" s="2" t="s">
        <v>25</v>
      </c>
      <c r="G12" s="2" t="s">
        <v>122</v>
      </c>
      <c r="I12" s="1" t="str">
        <f t="shared" si="0"/>
        <v>공사메모</v>
      </c>
      <c r="J12" s="1" t="str">
        <f t="shared" si="1"/>
        <v>공사메모</v>
      </c>
      <c r="K12" s="1" t="str">
        <f t="shared" si="2"/>
        <v>(</v>
      </c>
      <c r="L12" s="1" t="str">
        <f t="shared" si="3"/>
        <v>NVARCHAR2</v>
      </c>
      <c r="M12" s="1" t="str">
        <f t="shared" si="4"/>
        <v>)</v>
      </c>
      <c r="N12" s="1" t="str">
        <f t="shared" si="5"/>
        <v>NULL</v>
      </c>
      <c r="O12" s="1" t="str">
        <f t="shared" si="6"/>
        <v>DEFAULT Y</v>
      </c>
      <c r="P12" s="1" t="s">
        <v>113</v>
      </c>
      <c r="R12" s="1" t="str">
        <f>"COMMENT ON COLUMN " &amp; C3 &amp; "." &amp; C12 &amp; " IS '" &amp; B12 &amp; "'"</f>
        <v>COMMENT ON COLUMN PROJECT_MANAGEMENT.PROJECT_DEC IS '공사메모'</v>
      </c>
    </row>
    <row r="13" spans="1:18" x14ac:dyDescent="0.3">
      <c r="A13" s="2"/>
      <c r="B13" s="2" t="s">
        <v>111</v>
      </c>
      <c r="C13" s="2" t="s">
        <v>790</v>
      </c>
      <c r="D13" s="2" t="s">
        <v>188</v>
      </c>
      <c r="E13" s="2" t="s">
        <v>618</v>
      </c>
      <c r="F13" s="2">
        <v>20</v>
      </c>
      <c r="G13" s="2" t="s">
        <v>90</v>
      </c>
      <c r="H13" s="1"/>
      <c r="I13" s="1" t="str">
        <f t="shared" si="0"/>
        <v>입력자</v>
      </c>
      <c r="J13" s="1" t="str">
        <f t="shared" si="1"/>
        <v>입력자(EMPLOYEE)</v>
      </c>
      <c r="K13" s="1" t="str">
        <f t="shared" si="2"/>
        <v>(</v>
      </c>
      <c r="L13" s="1" t="str">
        <f t="shared" si="3"/>
        <v>NVARCHAR2</v>
      </c>
      <c r="M13" s="1" t="str">
        <f t="shared" si="4"/>
        <v>)</v>
      </c>
      <c r="N13" s="1" t="str">
        <f t="shared" si="5"/>
        <v>NULL</v>
      </c>
      <c r="O13" s="1" t="str">
        <f t="shared" si="6"/>
        <v>DEFAULT N</v>
      </c>
      <c r="P13" s="1" t="s">
        <v>113</v>
      </c>
      <c r="Q13" s="1"/>
      <c r="R13" s="1" t="str">
        <f>"COMMENT ON COLUMN " &amp; C3 &amp; "." &amp; C13 &amp; " IS '" &amp; B13 &amp; "'"</f>
        <v>COMMENT ON COLUMN PROJECT_MANAGEMENT.INITBY IS '입력자'</v>
      </c>
    </row>
    <row r="14" spans="1:18" x14ac:dyDescent="0.3">
      <c r="A14" s="2"/>
      <c r="B14" s="2" t="s">
        <v>254</v>
      </c>
      <c r="C14" s="2" t="s">
        <v>791</v>
      </c>
      <c r="D14" s="2" t="s">
        <v>254</v>
      </c>
      <c r="E14" s="2" t="s">
        <v>228</v>
      </c>
      <c r="F14" s="2"/>
      <c r="G14" s="2" t="s">
        <v>90</v>
      </c>
      <c r="H14" s="1"/>
      <c r="I14" s="1" t="str">
        <f t="shared" si="0"/>
        <v>입력일시</v>
      </c>
      <c r="J14" s="1" t="str">
        <f t="shared" si="1"/>
        <v>입력일시</v>
      </c>
      <c r="K14" s="1" t="str">
        <f t="shared" si="2"/>
        <v>(</v>
      </c>
      <c r="L14" s="1" t="str">
        <f t="shared" si="3"/>
        <v>DATE</v>
      </c>
      <c r="M14" s="1" t="str">
        <f t="shared" si="4"/>
        <v>)</v>
      </c>
      <c r="N14" s="1" t="str">
        <f t="shared" si="5"/>
        <v>NULL</v>
      </c>
      <c r="O14" s="1" t="str">
        <f t="shared" si="6"/>
        <v>DEFAULT N</v>
      </c>
      <c r="P14" s="1" t="s">
        <v>113</v>
      </c>
      <c r="Q14" s="1"/>
      <c r="R14" s="1" t="str">
        <f>"COMMENT ON COLUMN " &amp; C3 &amp; "." &amp; C14 &amp; " IS '" &amp; B14 &amp; "'"</f>
        <v>COMMENT ON COLUMN PROJECT_MANAGEMENT.INITDTTM IS '입력일시'</v>
      </c>
    </row>
    <row r="15" spans="1:18" x14ac:dyDescent="0.3">
      <c r="A15" s="2"/>
      <c r="B15" s="2" t="s">
        <v>99</v>
      </c>
      <c r="C15" s="2" t="s">
        <v>793</v>
      </c>
      <c r="D15" s="2" t="s">
        <v>197</v>
      </c>
      <c r="E15" s="2" t="s">
        <v>618</v>
      </c>
      <c r="F15" s="2">
        <v>20</v>
      </c>
      <c r="G15" s="2" t="s">
        <v>122</v>
      </c>
      <c r="H15" s="1"/>
      <c r="I15" s="1" t="str">
        <f t="shared" si="0"/>
        <v>수정자</v>
      </c>
      <c r="J15" s="1" t="str">
        <f t="shared" si="1"/>
        <v>수정자(EMPLOYEE)</v>
      </c>
      <c r="K15" s="1" t="str">
        <f t="shared" si="2"/>
        <v>(</v>
      </c>
      <c r="L15" s="1" t="str">
        <f t="shared" si="3"/>
        <v>NVARCHAR2</v>
      </c>
      <c r="M15" s="1" t="str">
        <f t="shared" si="4"/>
        <v>)</v>
      </c>
      <c r="N15" s="1" t="str">
        <f t="shared" si="5"/>
        <v>NULL</v>
      </c>
      <c r="O15" s="1" t="str">
        <f t="shared" si="6"/>
        <v>DEFAULT Y</v>
      </c>
      <c r="P15" s="1" t="s">
        <v>113</v>
      </c>
      <c r="Q15" s="1"/>
      <c r="R15" s="1" t="str">
        <f>"COMMENT ON COLUMN " &amp; C3 &amp; "." &amp; C15 &amp; " IS '" &amp; B15 &amp; "'"</f>
        <v>COMMENT ON COLUMN PROJECT_MANAGEMENT.UPBY IS '수정자'</v>
      </c>
    </row>
    <row r="16" spans="1:18" x14ac:dyDescent="0.3">
      <c r="A16" s="2"/>
      <c r="B16" s="2" t="s">
        <v>259</v>
      </c>
      <c r="C16" s="2" t="s">
        <v>792</v>
      </c>
      <c r="D16" s="2" t="s">
        <v>259</v>
      </c>
      <c r="E16" s="2" t="s">
        <v>228</v>
      </c>
      <c r="F16" s="2"/>
      <c r="G16" s="2" t="s">
        <v>122</v>
      </c>
      <c r="H16" s="1"/>
      <c r="I16" s="1" t="str">
        <f t="shared" si="0"/>
        <v>수정일시</v>
      </c>
      <c r="J16" s="1" t="str">
        <f t="shared" si="1"/>
        <v>수정일시</v>
      </c>
      <c r="K16" s="1" t="str">
        <f t="shared" si="2"/>
        <v>(</v>
      </c>
      <c r="L16" s="1" t="str">
        <f t="shared" si="3"/>
        <v>DATE</v>
      </c>
      <c r="M16" s="1" t="str">
        <f t="shared" si="4"/>
        <v>)</v>
      </c>
      <c r="N16" s="1" t="str">
        <f t="shared" si="5"/>
        <v>NULL</v>
      </c>
      <c r="O16" s="1" t="str">
        <f t="shared" si="6"/>
        <v>DEFAULT Y</v>
      </c>
      <c r="P16" s="21" t="s">
        <v>723</v>
      </c>
      <c r="Q16" s="1"/>
      <c r="R16" s="1" t="str">
        <f>"COMMENT ON COLUMN " &amp; C3 &amp; "." &amp; C16 &amp; " IS '" &amp; B16 &amp; "'"</f>
        <v>COMMENT ON COLUMN PROJECT_MANAGEMENT.UPDTTM IS '수정일시'</v>
      </c>
    </row>
    <row r="17" spans="9:9" x14ac:dyDescent="0.3">
      <c r="I17" s="13" t="str">
        <f>"ALTER TABLE "&amp;B3&amp;""</f>
        <v>ALTER TABLE 공사대금 관리</v>
      </c>
    </row>
    <row r="18" spans="9:9" x14ac:dyDescent="0.3">
      <c r="I18" s="13" t="str" cm="1">
        <f t="array" ref="I18">"ADD CONSTRAINT PK_"&amp;C3&amp;"
PRIMARY KEY (" &amp; _xlfn.TEXTJOIN(", ", TRUE, _xlfn._xlws.FILTER(C6:C61, A6:A61="Y")) &amp; ")"</f>
        <v>ADD CONSTRAINT PK_PROJECT_MANAGEMENT
PRIMARY KEY (SEQ)</v>
      </c>
    </row>
  </sheetData>
  <phoneticPr fontId="7" type="noConversion"/>
  <hyperlinks>
    <hyperlink ref="A1" location="리스트!A1" display="리스트로 이동" xr:uid="{8A3D718D-8120-4460-9DEC-04CEDD31B525}"/>
  </hyperlinks>
  <pageMargins left="0.74805557727813721" right="0.74805557727813721" top="0.98430556058883667" bottom="0.98430556058883667" header="0.51166665554046631" footer="0.51166665554046631"/>
  <pageSetup paperSize="9" fitToWidth="0" fitToHeight="0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0C8A4-7987-4145-9EBD-3803C9ADD1BB}">
  <dimension ref="A1:S14"/>
  <sheetViews>
    <sheetView zoomScaleNormal="100" zoomScaleSheetLayoutView="100" workbookViewId="0">
      <selection activeCell="J3" sqref="J3:Q3"/>
    </sheetView>
  </sheetViews>
  <sheetFormatPr defaultColWidth="9" defaultRowHeight="16.5" x14ac:dyDescent="0.3"/>
  <cols>
    <col min="1" max="1" width="8.625" bestFit="1" customWidth="1"/>
    <col min="2" max="2" width="13.75" bestFit="1" customWidth="1"/>
    <col min="3" max="3" width="14.125" bestFit="1" customWidth="1"/>
    <col min="4" max="4" width="19.375" bestFit="1" customWidth="1"/>
    <col min="5" max="5" width="12.75" bestFit="1" customWidth="1"/>
    <col min="6" max="6" width="6.75" bestFit="1" customWidth="1"/>
    <col min="7" max="7" width="9" bestFit="1" customWidth="1"/>
    <col min="8" max="8" width="9" customWidth="1"/>
    <col min="10" max="11" width="16.875" customWidth="1"/>
    <col min="12" max="12" width="1.625" bestFit="1" customWidth="1"/>
    <col min="13" max="13" width="3.75" customWidth="1"/>
    <col min="14" max="14" width="1.625" bestFit="1" customWidth="1"/>
    <col min="15" max="15" width="18.375" bestFit="1" customWidth="1"/>
    <col min="16" max="17" width="10.125" bestFit="1" customWidth="1"/>
    <col min="18" max="18" width="16.875" customWidth="1"/>
  </cols>
  <sheetData>
    <row r="1" spans="1:19" x14ac:dyDescent="0.3">
      <c r="A1" s="16" t="s">
        <v>615</v>
      </c>
    </row>
    <row r="2" spans="1:19" x14ac:dyDescent="0.3">
      <c r="A2" s="2"/>
      <c r="B2" s="2" t="s">
        <v>116</v>
      </c>
      <c r="C2" s="2" t="s">
        <v>119</v>
      </c>
      <c r="D2" s="2" t="s">
        <v>112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3">
      <c r="A3" s="2"/>
      <c r="B3" s="12" t="s">
        <v>779</v>
      </c>
      <c r="C3" s="12" t="s">
        <v>778</v>
      </c>
      <c r="D3" s="2"/>
      <c r="E3" s="1"/>
      <c r="F3" s="1"/>
      <c r="G3" s="1"/>
      <c r="H3" s="1"/>
      <c r="I3" s="1"/>
      <c r="J3" s="13" t="str">
        <f>"DROP TABLE "&amp;C3&amp;" CASCADE CONSTRAINTS PURGE"</f>
        <v>DROP TABLE COMPANY CASCADE CONSTRAINTS PURGE</v>
      </c>
      <c r="K3" s="1"/>
      <c r="L3" s="1"/>
      <c r="M3" s="1"/>
      <c r="N3" s="1"/>
      <c r="O3" s="1"/>
      <c r="P3" s="21"/>
      <c r="Q3" s="21" t="s">
        <v>771</v>
      </c>
      <c r="R3" s="1"/>
      <c r="S3" s="1"/>
    </row>
    <row r="4" spans="1:19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3">
      <c r="A5" s="12" t="s">
        <v>88</v>
      </c>
      <c r="B5" s="12" t="s">
        <v>772</v>
      </c>
      <c r="C5" s="14" t="s">
        <v>252</v>
      </c>
      <c r="D5" s="12" t="s">
        <v>169</v>
      </c>
      <c r="E5" s="12" t="s">
        <v>265</v>
      </c>
      <c r="F5" s="2" t="s">
        <v>101</v>
      </c>
      <c r="G5" s="12" t="s">
        <v>205</v>
      </c>
      <c r="H5" s="12"/>
      <c r="I5" s="1"/>
      <c r="J5" s="1" t="str">
        <f>"CREATE TABLE "&amp;C3&amp;" ("</f>
        <v>CREATE TABLE COMPANY (</v>
      </c>
      <c r="K5" s="1"/>
      <c r="L5" s="1"/>
      <c r="M5" s="1"/>
      <c r="N5" s="1"/>
      <c r="O5" s="1"/>
      <c r="P5" s="1"/>
      <c r="Q5" s="1"/>
      <c r="R5" s="1"/>
      <c r="S5" s="1" t="str">
        <f>"COMMENT ON TABLE " &amp; C3 &amp; " IS '" &amp; SUBSTITUTE(B3,"'","''") &amp; "'"</f>
        <v>COMMENT ON TABLE COMPANY IS '회사'</v>
      </c>
    </row>
    <row r="6" spans="1:19" x14ac:dyDescent="0.3">
      <c r="A6" s="12" t="s">
        <v>122</v>
      </c>
      <c r="B6" s="2" t="s">
        <v>773</v>
      </c>
      <c r="C6" s="12" t="s">
        <v>774</v>
      </c>
      <c r="D6" s="2" t="s">
        <v>773</v>
      </c>
      <c r="E6" s="2" t="s">
        <v>618</v>
      </c>
      <c r="F6" s="2">
        <v>10</v>
      </c>
      <c r="G6" s="12" t="s">
        <v>90</v>
      </c>
      <c r="H6" s="12"/>
      <c r="I6" s="1"/>
      <c r="J6" s="1" t="str">
        <f>""&amp;C6&amp;""</f>
        <v>COMPANY_CODE</v>
      </c>
      <c r="K6" s="1" t="str">
        <f>""&amp;E6&amp;""</f>
        <v>NVARCHAR2</v>
      </c>
      <c r="L6" s="1" t="str">
        <f>IF(F6="","","(")</f>
        <v>(</v>
      </c>
      <c r="M6" s="1">
        <f>IF(F6="","",F6)</f>
        <v>10</v>
      </c>
      <c r="N6" s="1" t="str">
        <f>IF(F6="","",")")</f>
        <v>)</v>
      </c>
      <c r="O6" s="1" t="str">
        <f t="shared" ref="O6:O12" si="0">IF(H6&lt;&gt;"","DEFAULT "&amp;H6,"")</f>
        <v/>
      </c>
      <c r="P6" s="1" t="str">
        <f>IF(G6="N","NOT NULL","NULL")</f>
        <v>NOT NULL</v>
      </c>
      <c r="Q6" s="1" t="s">
        <v>113</v>
      </c>
      <c r="S6" s="1" t="str">
        <f>"COMMENT ON COLUMN " &amp; C3 &amp; "." &amp; C6 &amp; " IS '" &amp; B6 &amp; "'"</f>
        <v>COMMENT ON COLUMN COMPANY.COMPANY_CODE IS '회사코드'</v>
      </c>
    </row>
    <row r="7" spans="1:19" x14ac:dyDescent="0.3">
      <c r="A7" s="2"/>
      <c r="B7" s="2" t="s">
        <v>775</v>
      </c>
      <c r="C7" s="2" t="s">
        <v>776</v>
      </c>
      <c r="D7" s="2" t="s">
        <v>775</v>
      </c>
      <c r="E7" s="2" t="s">
        <v>618</v>
      </c>
      <c r="F7" s="2">
        <v>100</v>
      </c>
      <c r="G7" s="12" t="s">
        <v>122</v>
      </c>
      <c r="H7" s="12"/>
      <c r="I7" s="1"/>
      <c r="J7" s="1" t="str">
        <f t="shared" ref="J7:J12" si="1">""&amp;C7&amp;""</f>
        <v>COMPANY_NAME</v>
      </c>
      <c r="K7" s="1" t="str">
        <f t="shared" ref="K7:K12" si="2">""&amp;E7&amp;""</f>
        <v>NVARCHAR2</v>
      </c>
      <c r="L7" s="1" t="str">
        <f t="shared" ref="L7:L12" si="3">IF(F7="","","(")</f>
        <v>(</v>
      </c>
      <c r="M7" s="1">
        <f t="shared" ref="M7:M12" si="4">IF(F7="","",F7)</f>
        <v>100</v>
      </c>
      <c r="N7" s="1" t="str">
        <f t="shared" ref="N7:N12" si="5">IF(F7="","",")")</f>
        <v>)</v>
      </c>
      <c r="O7" s="1" t="str">
        <f t="shared" si="0"/>
        <v/>
      </c>
      <c r="P7" s="1" t="str">
        <f t="shared" ref="P7:P12" si="6">IF(G7="N","NOT NULL","NULL")</f>
        <v>NULL</v>
      </c>
      <c r="Q7" s="1" t="s">
        <v>113</v>
      </c>
      <c r="R7" s="1"/>
      <c r="S7" s="1" t="str">
        <f>"COMMENT ON COLUMN " &amp; C3 &amp; "." &amp; C7 &amp; " IS '" &amp; B7 &amp; "'"</f>
        <v>COMMENT ON COLUMN COMPANY.COMPANY_NAME IS '회사명'</v>
      </c>
    </row>
    <row r="8" spans="1:19" x14ac:dyDescent="0.3">
      <c r="A8" s="2"/>
      <c r="B8" s="2" t="s">
        <v>210</v>
      </c>
      <c r="C8" s="2" t="s">
        <v>217</v>
      </c>
      <c r="D8" s="2" t="s">
        <v>777</v>
      </c>
      <c r="E8" s="2" t="s">
        <v>249</v>
      </c>
      <c r="F8" s="2">
        <v>1</v>
      </c>
      <c r="G8" s="12" t="s">
        <v>122</v>
      </c>
      <c r="H8" s="12"/>
      <c r="I8" s="1"/>
      <c r="J8" s="1" t="str">
        <f t="shared" si="1"/>
        <v>USEFLAG</v>
      </c>
      <c r="K8" s="1" t="str">
        <f t="shared" si="2"/>
        <v>CHAR</v>
      </c>
      <c r="L8" s="1" t="str">
        <f t="shared" si="3"/>
        <v>(</v>
      </c>
      <c r="M8" s="1">
        <f t="shared" si="4"/>
        <v>1</v>
      </c>
      <c r="N8" s="1" t="str">
        <f t="shared" si="5"/>
        <v>)</v>
      </c>
      <c r="O8" s="1" t="str">
        <f t="shared" si="0"/>
        <v/>
      </c>
      <c r="P8" s="1" t="str">
        <f t="shared" si="6"/>
        <v>NULL</v>
      </c>
      <c r="Q8" s="1" t="s">
        <v>113</v>
      </c>
      <c r="R8" s="1"/>
      <c r="S8" s="1" t="str">
        <f>"COMMENT ON COLUMN " &amp; C3 &amp; "." &amp; C8 &amp; " IS '" &amp; B8 &amp; "'"</f>
        <v>COMMENT ON COLUMN COMPANY.USEFLAG IS '사용여부'</v>
      </c>
    </row>
    <row r="9" spans="1:19" x14ac:dyDescent="0.3">
      <c r="A9" s="2"/>
      <c r="B9" s="2" t="s">
        <v>111</v>
      </c>
      <c r="C9" s="2" t="s">
        <v>790</v>
      </c>
      <c r="D9" s="2" t="s">
        <v>188</v>
      </c>
      <c r="E9" s="2" t="s">
        <v>618</v>
      </c>
      <c r="F9" s="2">
        <v>20</v>
      </c>
      <c r="G9" s="2" t="s">
        <v>90</v>
      </c>
      <c r="H9" s="15"/>
      <c r="I9" s="1"/>
      <c r="J9" s="1" t="str">
        <f t="shared" si="1"/>
        <v>INITBY</v>
      </c>
      <c r="K9" s="1" t="str">
        <f t="shared" si="2"/>
        <v>NVARCHAR2</v>
      </c>
      <c r="L9" s="1" t="str">
        <f t="shared" si="3"/>
        <v>(</v>
      </c>
      <c r="M9" s="1">
        <f t="shared" si="4"/>
        <v>20</v>
      </c>
      <c r="N9" s="1" t="str">
        <f t="shared" si="5"/>
        <v>)</v>
      </c>
      <c r="O9" s="1" t="str">
        <f t="shared" si="0"/>
        <v/>
      </c>
      <c r="P9" s="1" t="str">
        <f t="shared" si="6"/>
        <v>NOT NULL</v>
      </c>
      <c r="Q9" s="1" t="s">
        <v>113</v>
      </c>
      <c r="R9" s="1"/>
      <c r="S9" s="1" t="str">
        <f>"COMMENT ON COLUMN " &amp; C3 &amp; "." &amp; C9 &amp; " IS '" &amp; B9 &amp; "'"</f>
        <v>COMMENT ON COLUMN COMPANY.INITBY IS '입력자'</v>
      </c>
    </row>
    <row r="10" spans="1:19" x14ac:dyDescent="0.3">
      <c r="A10" s="2"/>
      <c r="B10" s="2" t="s">
        <v>254</v>
      </c>
      <c r="C10" s="2" t="s">
        <v>791</v>
      </c>
      <c r="D10" s="2" t="s">
        <v>254</v>
      </c>
      <c r="E10" s="2" t="s">
        <v>228</v>
      </c>
      <c r="F10" s="2"/>
      <c r="G10" s="2" t="s">
        <v>90</v>
      </c>
      <c r="H10" s="12" t="s">
        <v>570</v>
      </c>
      <c r="I10" s="1"/>
      <c r="J10" s="1" t="str">
        <f t="shared" si="1"/>
        <v>INITDTTM</v>
      </c>
      <c r="K10" s="1" t="str">
        <f t="shared" si="2"/>
        <v>DATE</v>
      </c>
      <c r="L10" s="1" t="str">
        <f t="shared" si="3"/>
        <v/>
      </c>
      <c r="M10" s="1" t="str">
        <f t="shared" si="4"/>
        <v/>
      </c>
      <c r="N10" s="1" t="str">
        <f t="shared" si="5"/>
        <v/>
      </c>
      <c r="O10" s="1" t="str">
        <f t="shared" si="0"/>
        <v>DEFAULT SYSDATE</v>
      </c>
      <c r="P10" s="1" t="str">
        <f t="shared" si="6"/>
        <v>NOT NULL</v>
      </c>
      <c r="Q10" s="1" t="s">
        <v>113</v>
      </c>
      <c r="R10" s="1"/>
      <c r="S10" s="1" t="str">
        <f>"COMMENT ON COLUMN " &amp; C3 &amp; "." &amp; C10 &amp; " IS '" &amp; B10 &amp; "'"</f>
        <v>COMMENT ON COLUMN COMPANY.INITDTTM IS '입력일시'</v>
      </c>
    </row>
    <row r="11" spans="1:19" x14ac:dyDescent="0.3">
      <c r="A11" s="2"/>
      <c r="B11" s="2" t="s">
        <v>99</v>
      </c>
      <c r="C11" s="2" t="s">
        <v>793</v>
      </c>
      <c r="D11" s="2" t="s">
        <v>197</v>
      </c>
      <c r="E11" s="2" t="s">
        <v>618</v>
      </c>
      <c r="F11" s="2">
        <v>20</v>
      </c>
      <c r="G11" s="2" t="s">
        <v>122</v>
      </c>
      <c r="H11" s="15"/>
      <c r="I11" s="1"/>
      <c r="J11" s="1" t="str">
        <f t="shared" si="1"/>
        <v>UPBY</v>
      </c>
      <c r="K11" s="1" t="str">
        <f t="shared" si="2"/>
        <v>NVARCHAR2</v>
      </c>
      <c r="L11" s="1" t="str">
        <f t="shared" si="3"/>
        <v>(</v>
      </c>
      <c r="M11" s="1">
        <f t="shared" si="4"/>
        <v>20</v>
      </c>
      <c r="N11" s="1" t="str">
        <f t="shared" si="5"/>
        <v>)</v>
      </c>
      <c r="O11" s="1" t="str">
        <f t="shared" si="0"/>
        <v/>
      </c>
      <c r="P11" s="1" t="str">
        <f t="shared" si="6"/>
        <v>NULL</v>
      </c>
      <c r="Q11" s="1" t="s">
        <v>113</v>
      </c>
      <c r="R11" s="1"/>
      <c r="S11" s="1" t="str">
        <f>"COMMENT ON COLUMN " &amp; C3 &amp; "." &amp; C11 &amp; " IS '" &amp; B11 &amp; "'"</f>
        <v>COMMENT ON COLUMN COMPANY.UPBY IS '수정자'</v>
      </c>
    </row>
    <row r="12" spans="1:19" x14ac:dyDescent="0.3">
      <c r="A12" s="2"/>
      <c r="B12" s="2" t="s">
        <v>259</v>
      </c>
      <c r="C12" s="2" t="s">
        <v>792</v>
      </c>
      <c r="D12" s="2" t="s">
        <v>259</v>
      </c>
      <c r="E12" s="2" t="s">
        <v>228</v>
      </c>
      <c r="F12" s="2"/>
      <c r="G12" s="2" t="s">
        <v>122</v>
      </c>
      <c r="H12" s="12"/>
      <c r="I12" s="1"/>
      <c r="J12" s="1" t="str">
        <f t="shared" si="1"/>
        <v>UPDTTM</v>
      </c>
      <c r="K12" s="1" t="str">
        <f t="shared" si="2"/>
        <v>DATE</v>
      </c>
      <c r="L12" s="1" t="str">
        <f t="shared" si="3"/>
        <v/>
      </c>
      <c r="M12" s="1" t="str">
        <f t="shared" si="4"/>
        <v/>
      </c>
      <c r="N12" s="1" t="str">
        <f t="shared" si="5"/>
        <v/>
      </c>
      <c r="O12" s="1" t="str">
        <f t="shared" si="0"/>
        <v/>
      </c>
      <c r="P12" s="1" t="str">
        <f t="shared" si="6"/>
        <v>NULL</v>
      </c>
      <c r="Q12" s="21" t="s">
        <v>723</v>
      </c>
      <c r="R12" s="1"/>
      <c r="S12" s="1" t="str">
        <f>"COMMENT ON COLUMN " &amp; C3 &amp; "." &amp; C12 &amp; " IS '" &amp; B12 &amp; "'"</f>
        <v>COMMENT ON COLUMN COMPANY.UPDTTM IS '수정일시'</v>
      </c>
    </row>
    <row r="13" spans="1:19" x14ac:dyDescent="0.3">
      <c r="J13" s="13" t="str">
        <f>"ALTER TABLE "&amp;C3&amp;""</f>
        <v>ALTER TABLE COMPANY</v>
      </c>
    </row>
    <row r="14" spans="1:19" x14ac:dyDescent="0.3">
      <c r="J14" s="13" t="str" cm="1">
        <f t="array" ref="J14">"ADD CONSTRAINT PK_"&amp;C3&amp;" PRIMARY KEY (" &amp; _xlfn.TEXTJOIN(", ", TRUE, _xlfn._xlws.FILTER(C6:C57, A6:A57="Y")) &amp; ")"</f>
        <v>ADD CONSTRAINT PK_COMPANY PRIMARY KEY (COMPANY_CODE)</v>
      </c>
    </row>
  </sheetData>
  <phoneticPr fontId="7" type="noConversion"/>
  <hyperlinks>
    <hyperlink ref="A1" location="리스트!A1" display="리스트로 이동" xr:uid="{3224946F-3458-4D7C-8EF5-19431686F5EE}"/>
  </hyperlinks>
  <pageMargins left="0.74805557727813721" right="0.74805557727813721" top="0.98430556058883667" bottom="0.98430556058883667" header="0.51166665554046631" footer="0.51166665554046631"/>
  <pageSetup paperSize="9" fitToWidth="0" fitToHeight="0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915D0-83A1-4FE0-AFE7-E3C305B26B6C}">
  <dimension ref="A1:S20"/>
  <sheetViews>
    <sheetView zoomScaleNormal="100" zoomScaleSheetLayoutView="100" workbookViewId="0">
      <selection activeCell="J3" sqref="J3:Q3"/>
    </sheetView>
  </sheetViews>
  <sheetFormatPr defaultColWidth="9" defaultRowHeight="16.5" x14ac:dyDescent="0.3"/>
  <cols>
    <col min="1" max="1" width="8.625" bestFit="1" customWidth="1"/>
    <col min="2" max="2" width="13.75" bestFit="1" customWidth="1"/>
    <col min="3" max="3" width="14.125" bestFit="1" customWidth="1"/>
    <col min="4" max="4" width="19.375" bestFit="1" customWidth="1"/>
    <col min="5" max="5" width="12.75" bestFit="1" customWidth="1"/>
    <col min="6" max="6" width="6.75" bestFit="1" customWidth="1"/>
    <col min="7" max="7" width="9" bestFit="1" customWidth="1"/>
    <col min="9" max="10" width="16.875" customWidth="1"/>
    <col min="11" max="11" width="1.625" bestFit="1" customWidth="1"/>
    <col min="12" max="12" width="3" bestFit="1" customWidth="1"/>
    <col min="13" max="13" width="1.625" bestFit="1" customWidth="1"/>
    <col min="14" max="15" width="10.125" bestFit="1" customWidth="1"/>
    <col min="16" max="16" width="16.875" customWidth="1"/>
  </cols>
  <sheetData>
    <row r="1" spans="1:19" x14ac:dyDescent="0.3">
      <c r="A1" s="16" t="s">
        <v>615</v>
      </c>
    </row>
    <row r="2" spans="1:19" x14ac:dyDescent="0.3">
      <c r="A2" s="2"/>
      <c r="B2" s="2" t="s">
        <v>116</v>
      </c>
      <c r="C2" s="2" t="s">
        <v>119</v>
      </c>
      <c r="D2" s="2" t="s">
        <v>112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3">
      <c r="A3" s="2"/>
      <c r="B3" s="12" t="s">
        <v>718</v>
      </c>
      <c r="C3" s="12" t="s">
        <v>717</v>
      </c>
      <c r="D3" s="2"/>
      <c r="E3" s="1"/>
      <c r="F3" s="1"/>
      <c r="G3" s="1"/>
      <c r="H3" s="1"/>
      <c r="I3" s="1"/>
      <c r="J3" s="13" t="str">
        <f>"DROP TABLE "&amp;C3&amp;" CASCADE CONSTRAINTS PURGE"</f>
        <v>DROP TABLE VENDORS CASCADE CONSTRAINTS PURGE</v>
      </c>
      <c r="K3" s="1"/>
      <c r="L3" s="1"/>
      <c r="M3" s="1"/>
      <c r="N3" s="1"/>
      <c r="O3" s="1"/>
      <c r="P3" s="21"/>
      <c r="Q3" s="21" t="s">
        <v>771</v>
      </c>
      <c r="R3" s="1"/>
      <c r="S3" s="1"/>
    </row>
    <row r="4" spans="1:19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3">
      <c r="A5" s="2" t="s">
        <v>88</v>
      </c>
      <c r="B5" s="2" t="s">
        <v>215</v>
      </c>
      <c r="C5" s="2" t="s">
        <v>252</v>
      </c>
      <c r="D5" s="2" t="s">
        <v>169</v>
      </c>
      <c r="E5" s="2" t="s">
        <v>265</v>
      </c>
      <c r="F5" s="2" t="s">
        <v>101</v>
      </c>
      <c r="G5" s="2" t="s">
        <v>205</v>
      </c>
      <c r="H5" s="2" t="s">
        <v>569</v>
      </c>
      <c r="I5" s="1"/>
      <c r="J5" s="1" t="str">
        <f>"CREATE TABLE "&amp;C3&amp;" ("</f>
        <v>CREATE TABLE VENDORS (</v>
      </c>
      <c r="K5" s="1"/>
      <c r="L5" s="1"/>
      <c r="M5" s="1"/>
      <c r="N5" s="1"/>
      <c r="O5" s="1"/>
      <c r="P5" s="1"/>
      <c r="Q5" s="1"/>
      <c r="R5" s="1"/>
      <c r="S5" s="1" t="str">
        <f>"COMMENT ON TABLE " &amp; C3 &amp; " IS '" &amp; SUBSTITUTE(B3,"'","''") &amp; "'"</f>
        <v>COMMENT ON TABLE VENDORS IS '고객사'</v>
      </c>
    </row>
    <row r="6" spans="1:19" x14ac:dyDescent="0.3">
      <c r="A6" s="2" t="s">
        <v>565</v>
      </c>
      <c r="B6" s="12" t="s">
        <v>720</v>
      </c>
      <c r="C6" s="14" t="s">
        <v>719</v>
      </c>
      <c r="D6" s="2"/>
      <c r="E6" s="2" t="s">
        <v>619</v>
      </c>
      <c r="F6" s="2">
        <v>20</v>
      </c>
      <c r="G6" s="2" t="s">
        <v>564</v>
      </c>
      <c r="H6" s="2"/>
      <c r="I6" s="1"/>
      <c r="J6" s="1" t="str">
        <f t="shared" ref="J6:J18" si="0">""&amp;C6&amp;""</f>
        <v>VENDOR_CODE</v>
      </c>
      <c r="K6" s="1" t="str">
        <f t="shared" ref="K6:K18" si="1">""&amp;E6&amp;""</f>
        <v>NVARCHAR2</v>
      </c>
      <c r="L6" s="1" t="str">
        <f t="shared" ref="L6:L18" si="2">IF(F6="","","(")</f>
        <v>(</v>
      </c>
      <c r="M6" s="1">
        <f t="shared" ref="M6:M18" si="3">IF(F6="","",F6)</f>
        <v>20</v>
      </c>
      <c r="N6" s="1" t="str">
        <f t="shared" ref="N6:N18" si="4">IF(F6="","",")")</f>
        <v>)</v>
      </c>
      <c r="O6" s="1" t="str">
        <f>IF(G6="N","NOT NULL","NULL")</f>
        <v>NOT NULL</v>
      </c>
      <c r="P6" s="1" t="str">
        <f>IF(H6&lt;&gt;"","DEFAULT "&amp;H6,"")</f>
        <v/>
      </c>
      <c r="Q6" s="1" t="s">
        <v>113</v>
      </c>
      <c r="S6" s="1" t="str">
        <f>"COMMENT ON COLUMN " &amp; C3 &amp; "." &amp; C6 &amp; " IS '" &amp; B6 &amp; "'"</f>
        <v>COMMENT ON COLUMN VENDORS.VENDOR_CODE IS '고객사코드'</v>
      </c>
    </row>
    <row r="7" spans="1:19" x14ac:dyDescent="0.3">
      <c r="A7" s="2"/>
      <c r="B7" s="12" t="s">
        <v>721</v>
      </c>
      <c r="C7" s="14" t="s">
        <v>722</v>
      </c>
      <c r="D7" s="2"/>
      <c r="E7" s="2" t="s">
        <v>618</v>
      </c>
      <c r="F7" s="2">
        <v>100</v>
      </c>
      <c r="G7" s="2" t="s">
        <v>564</v>
      </c>
      <c r="H7" s="2"/>
      <c r="I7" s="1"/>
      <c r="J7" s="1" t="str">
        <f t="shared" si="0"/>
        <v>VENDOR_NAME</v>
      </c>
      <c r="K7" s="1" t="str">
        <f t="shared" si="1"/>
        <v>NVARCHAR2</v>
      </c>
      <c r="L7" s="1" t="str">
        <f t="shared" si="2"/>
        <v>(</v>
      </c>
      <c r="M7" s="1">
        <f t="shared" si="3"/>
        <v>100</v>
      </c>
      <c r="N7" s="1" t="str">
        <f t="shared" si="4"/>
        <v>)</v>
      </c>
      <c r="O7" s="1" t="str">
        <f t="shared" ref="O7:O18" si="5">IF(G7="N","NOT NULL","NULL")</f>
        <v>NOT NULL</v>
      </c>
      <c r="P7" s="1" t="str">
        <f t="shared" ref="P7:P18" si="6">IF(H7&lt;&gt;"","DEFAULT "&amp;H7,"")</f>
        <v/>
      </c>
      <c r="Q7" s="1" t="s">
        <v>113</v>
      </c>
      <c r="R7" s="1"/>
      <c r="S7" s="1" t="str">
        <f>"COMMENT ON COLUMN " &amp; C3 &amp; "." &amp; C7 &amp; " IS '" &amp; B7 &amp; "'"</f>
        <v>COMMENT ON COLUMN VENDORS.VENDOR_NAME IS '고객사명'</v>
      </c>
    </row>
    <row r="8" spans="1:19" x14ac:dyDescent="0.3">
      <c r="A8" s="2"/>
      <c r="B8" s="2" t="s">
        <v>540</v>
      </c>
      <c r="C8" s="2" t="s">
        <v>530</v>
      </c>
      <c r="D8" s="2"/>
      <c r="E8" s="2" t="s">
        <v>618</v>
      </c>
      <c r="F8" s="2">
        <v>20</v>
      </c>
      <c r="G8" s="2" t="s">
        <v>565</v>
      </c>
      <c r="H8" s="2"/>
      <c r="I8" s="1"/>
      <c r="J8" s="1" t="str">
        <f t="shared" si="0"/>
        <v>SITE_CODE</v>
      </c>
      <c r="K8" s="1" t="str">
        <f t="shared" si="1"/>
        <v>NVARCHAR2</v>
      </c>
      <c r="L8" s="1" t="str">
        <f t="shared" si="2"/>
        <v>(</v>
      </c>
      <c r="M8" s="1">
        <f t="shared" si="3"/>
        <v>20</v>
      </c>
      <c r="N8" s="1" t="str">
        <f t="shared" si="4"/>
        <v>)</v>
      </c>
      <c r="O8" s="1" t="str">
        <f t="shared" si="5"/>
        <v>NULL</v>
      </c>
      <c r="P8" s="1" t="str">
        <f t="shared" si="6"/>
        <v/>
      </c>
      <c r="Q8" s="1" t="s">
        <v>113</v>
      </c>
      <c r="R8" s="1"/>
      <c r="S8" s="1" t="str">
        <f>"COMMENT ON COLUMN " &amp; C3 &amp; "." &amp; C8 &amp; " IS '" &amp; B8 &amp; "'"</f>
        <v>COMMENT ON COLUMN VENDORS.SITE_CODE IS '사이트코드'</v>
      </c>
    </row>
    <row r="9" spans="1:19" x14ac:dyDescent="0.3">
      <c r="A9" s="2"/>
      <c r="B9" s="2" t="s">
        <v>541</v>
      </c>
      <c r="C9" s="2" t="s">
        <v>531</v>
      </c>
      <c r="D9" s="2"/>
      <c r="E9" s="2" t="s">
        <v>618</v>
      </c>
      <c r="F9" s="2">
        <v>100</v>
      </c>
      <c r="G9" s="2" t="s">
        <v>565</v>
      </c>
      <c r="H9" s="2"/>
      <c r="I9" s="1"/>
      <c r="J9" s="1" t="str">
        <f t="shared" si="0"/>
        <v>SITE_NAME</v>
      </c>
      <c r="K9" s="1" t="str">
        <f t="shared" si="1"/>
        <v>NVARCHAR2</v>
      </c>
      <c r="L9" s="1" t="str">
        <f t="shared" si="2"/>
        <v>(</v>
      </c>
      <c r="M9" s="1">
        <f t="shared" si="3"/>
        <v>100</v>
      </c>
      <c r="N9" s="1" t="str">
        <f t="shared" si="4"/>
        <v>)</v>
      </c>
      <c r="O9" s="1" t="str">
        <f t="shared" si="5"/>
        <v>NULL</v>
      </c>
      <c r="P9" s="1" t="str">
        <f t="shared" si="6"/>
        <v/>
      </c>
      <c r="Q9" s="1" t="s">
        <v>113</v>
      </c>
      <c r="R9" s="1"/>
      <c r="S9" s="1" t="str">
        <f>"COMMENT ON COLUMN " &amp; C3 &amp; "." &amp; C9 &amp; " IS '" &amp; B9 &amp; "'"</f>
        <v>COMMENT ON COLUMN VENDORS.SITE_NAME IS '사이트명'</v>
      </c>
    </row>
    <row r="10" spans="1:19" x14ac:dyDescent="0.3">
      <c r="A10" s="2"/>
      <c r="B10" s="2" t="s">
        <v>542</v>
      </c>
      <c r="C10" s="14" t="s">
        <v>532</v>
      </c>
      <c r="D10" s="2"/>
      <c r="E10" s="2" t="s">
        <v>618</v>
      </c>
      <c r="F10" s="2">
        <v>20</v>
      </c>
      <c r="G10" s="2" t="s">
        <v>565</v>
      </c>
      <c r="H10" s="2"/>
      <c r="I10" s="1"/>
      <c r="J10" s="1" t="str">
        <f t="shared" si="0"/>
        <v>PLANT_TYPE</v>
      </c>
      <c r="K10" s="1" t="str">
        <f t="shared" si="1"/>
        <v>NVARCHAR2</v>
      </c>
      <c r="L10" s="1" t="str">
        <f t="shared" si="2"/>
        <v>(</v>
      </c>
      <c r="M10" s="1">
        <f t="shared" si="3"/>
        <v>20</v>
      </c>
      <c r="N10" s="1" t="str">
        <f t="shared" si="4"/>
        <v>)</v>
      </c>
      <c r="O10" s="1" t="str">
        <f t="shared" si="5"/>
        <v>NULL</v>
      </c>
      <c r="P10" s="1" t="str">
        <f t="shared" si="6"/>
        <v/>
      </c>
      <c r="Q10" s="1" t="s">
        <v>113</v>
      </c>
      <c r="R10" s="1"/>
      <c r="S10" s="1" t="str">
        <f>"COMMENT ON COLUMN " &amp; C3 &amp; "." &amp; C10 &amp; " IS '" &amp; B10 &amp; "'"</f>
        <v>COMMENT ON COLUMN VENDORS.PLANT_TYPE IS '공장유형'</v>
      </c>
    </row>
    <row r="11" spans="1:19" x14ac:dyDescent="0.3">
      <c r="A11" s="2"/>
      <c r="B11" s="2" t="s">
        <v>533</v>
      </c>
      <c r="C11" s="14" t="s">
        <v>427</v>
      </c>
      <c r="D11" s="2"/>
      <c r="E11" s="2" t="s">
        <v>618</v>
      </c>
      <c r="F11" s="2">
        <v>200</v>
      </c>
      <c r="G11" s="2" t="s">
        <v>565</v>
      </c>
      <c r="H11" s="2"/>
      <c r="I11" s="1"/>
      <c r="J11" s="1" t="str">
        <f t="shared" si="0"/>
        <v>LOCATION</v>
      </c>
      <c r="K11" s="1" t="str">
        <f t="shared" si="1"/>
        <v>NVARCHAR2</v>
      </c>
      <c r="L11" s="1" t="str">
        <f t="shared" si="2"/>
        <v>(</v>
      </c>
      <c r="M11" s="1">
        <f t="shared" si="3"/>
        <v>200</v>
      </c>
      <c r="N11" s="1" t="str">
        <f t="shared" si="4"/>
        <v>)</v>
      </c>
      <c r="O11" s="1" t="str">
        <f t="shared" si="5"/>
        <v>NULL</v>
      </c>
      <c r="P11" s="1" t="str">
        <f t="shared" si="6"/>
        <v/>
      </c>
      <c r="Q11" s="1" t="s">
        <v>113</v>
      </c>
      <c r="R11" s="1"/>
      <c r="S11" s="1" t="str">
        <f>"COMMENT ON COLUMN " &amp; C3 &amp; "." &amp; C11 &amp; " IS '" &amp; B11 &amp; "'"</f>
        <v>COMMENT ON COLUMN VENDORS.LOCATION IS '주소'</v>
      </c>
    </row>
    <row r="12" spans="1:19" x14ac:dyDescent="0.3">
      <c r="A12" s="2"/>
      <c r="B12" s="2" t="s">
        <v>543</v>
      </c>
      <c r="C12" s="14" t="s">
        <v>535</v>
      </c>
      <c r="D12" s="2"/>
      <c r="E12" s="2" t="s">
        <v>618</v>
      </c>
      <c r="F12" s="2">
        <v>20</v>
      </c>
      <c r="G12" s="2" t="s">
        <v>565</v>
      </c>
      <c r="H12" s="2"/>
      <c r="I12" s="1"/>
      <c r="J12" s="1" t="str">
        <f t="shared" si="0"/>
        <v>TEL_NO</v>
      </c>
      <c r="K12" s="1" t="str">
        <f t="shared" si="1"/>
        <v>NVARCHAR2</v>
      </c>
      <c r="L12" s="1" t="str">
        <f t="shared" si="2"/>
        <v>(</v>
      </c>
      <c r="M12" s="1">
        <f t="shared" si="3"/>
        <v>20</v>
      </c>
      <c r="N12" s="1" t="str">
        <f t="shared" si="4"/>
        <v>)</v>
      </c>
      <c r="O12" s="1" t="str">
        <f t="shared" si="5"/>
        <v>NULL</v>
      </c>
      <c r="P12" s="1" t="str">
        <f t="shared" si="6"/>
        <v/>
      </c>
      <c r="Q12" s="1" t="s">
        <v>113</v>
      </c>
      <c r="R12" s="1"/>
      <c r="S12" s="1" t="str">
        <f>"COMMENT ON COLUMN " &amp; C3 &amp; "." &amp; C12 &amp; " IS '" &amp; B12 &amp; "'"</f>
        <v>COMMENT ON COLUMN VENDORS.TEL_NO IS '전화번호'</v>
      </c>
    </row>
    <row r="13" spans="1:19" x14ac:dyDescent="0.3">
      <c r="A13" s="2"/>
      <c r="B13" s="2" t="s">
        <v>534</v>
      </c>
      <c r="C13" s="14" t="s">
        <v>217</v>
      </c>
      <c r="D13" s="2"/>
      <c r="E13" s="2" t="s">
        <v>563</v>
      </c>
      <c r="F13" s="2">
        <v>1</v>
      </c>
      <c r="G13" s="2" t="s">
        <v>564</v>
      </c>
      <c r="H13" s="2"/>
      <c r="I13" s="1"/>
      <c r="J13" s="1" t="str">
        <f t="shared" si="0"/>
        <v>USEFLAG</v>
      </c>
      <c r="K13" s="1" t="str">
        <f t="shared" si="1"/>
        <v>CHAR</v>
      </c>
      <c r="L13" s="1" t="str">
        <f t="shared" si="2"/>
        <v>(</v>
      </c>
      <c r="M13" s="1">
        <f t="shared" si="3"/>
        <v>1</v>
      </c>
      <c r="N13" s="1" t="str">
        <f t="shared" si="4"/>
        <v>)</v>
      </c>
      <c r="O13" s="1" t="str">
        <f t="shared" si="5"/>
        <v>NOT NULL</v>
      </c>
      <c r="P13" s="1" t="str">
        <f t="shared" si="6"/>
        <v/>
      </c>
      <c r="Q13" s="1" t="s">
        <v>113</v>
      </c>
      <c r="R13" s="1"/>
      <c r="S13" s="1" t="str">
        <f>"COMMENT ON COLUMN " &amp; C3 &amp; "." &amp; C13 &amp; " IS '" &amp; B13 &amp; "'"</f>
        <v>COMMENT ON COLUMN VENDORS.USEFLAG IS '사용여부'</v>
      </c>
    </row>
    <row r="14" spans="1:19" x14ac:dyDescent="0.3">
      <c r="A14" s="2"/>
      <c r="B14" s="2" t="s">
        <v>544</v>
      </c>
      <c r="C14" s="2" t="s">
        <v>536</v>
      </c>
      <c r="D14" s="2"/>
      <c r="E14" s="2" t="s">
        <v>546</v>
      </c>
      <c r="F14" s="2"/>
      <c r="G14" s="2"/>
      <c r="H14" s="2"/>
      <c r="I14" s="1"/>
      <c r="J14" s="1" t="str">
        <f t="shared" si="0"/>
        <v>SORT_SEQ</v>
      </c>
      <c r="K14" s="1" t="str">
        <f t="shared" si="1"/>
        <v>NUMBER</v>
      </c>
      <c r="L14" s="1" t="str">
        <f t="shared" si="2"/>
        <v/>
      </c>
      <c r="M14" s="1" t="str">
        <f t="shared" si="3"/>
        <v/>
      </c>
      <c r="N14" s="1" t="str">
        <f t="shared" si="4"/>
        <v/>
      </c>
      <c r="O14" s="1" t="str">
        <f t="shared" si="5"/>
        <v>NULL</v>
      </c>
      <c r="P14" s="1" t="str">
        <f t="shared" si="6"/>
        <v/>
      </c>
      <c r="Q14" s="1" t="s">
        <v>113</v>
      </c>
      <c r="R14" s="1"/>
      <c r="S14" s="1" t="str">
        <f>"COMMENT ON COLUMN " &amp; C3 &amp; "." &amp; C14 &amp; " IS '" &amp; B14 &amp; "'"</f>
        <v>COMMENT ON COLUMN VENDORS.SORT_SEQ IS '정렬순서'</v>
      </c>
    </row>
    <row r="15" spans="1:19" x14ac:dyDescent="0.3">
      <c r="A15" s="2"/>
      <c r="B15" s="2" t="s">
        <v>111</v>
      </c>
      <c r="C15" s="2" t="s">
        <v>790</v>
      </c>
      <c r="D15" s="2" t="s">
        <v>188</v>
      </c>
      <c r="E15" s="2" t="s">
        <v>618</v>
      </c>
      <c r="F15" s="2">
        <v>20</v>
      </c>
      <c r="G15" s="2" t="s">
        <v>90</v>
      </c>
      <c r="H15" s="2"/>
      <c r="I15" s="1"/>
      <c r="J15" s="1" t="str">
        <f t="shared" si="0"/>
        <v>INITBY</v>
      </c>
      <c r="K15" s="1" t="str">
        <f t="shared" si="1"/>
        <v>NVARCHAR2</v>
      </c>
      <c r="L15" s="1" t="str">
        <f t="shared" si="2"/>
        <v>(</v>
      </c>
      <c r="M15" s="1">
        <f t="shared" si="3"/>
        <v>20</v>
      </c>
      <c r="N15" s="1" t="str">
        <f t="shared" si="4"/>
        <v>)</v>
      </c>
      <c r="O15" s="1" t="str">
        <f t="shared" si="5"/>
        <v>NOT NULL</v>
      </c>
      <c r="P15" s="1" t="str">
        <f t="shared" si="6"/>
        <v/>
      </c>
      <c r="Q15" s="1" t="s">
        <v>113</v>
      </c>
      <c r="R15" s="1"/>
      <c r="S15" s="1" t="str">
        <f>"COMMENT ON COLUMN " &amp; C3 &amp; "." &amp; C15 &amp; " IS '" &amp; B15 &amp; "'"</f>
        <v>COMMENT ON COLUMN VENDORS.INITBY IS '입력자'</v>
      </c>
    </row>
    <row r="16" spans="1:19" x14ac:dyDescent="0.3">
      <c r="A16" s="2"/>
      <c r="B16" s="2" t="s">
        <v>254</v>
      </c>
      <c r="C16" s="2" t="s">
        <v>791</v>
      </c>
      <c r="D16" s="2" t="s">
        <v>254</v>
      </c>
      <c r="E16" s="2" t="s">
        <v>228</v>
      </c>
      <c r="F16" s="2"/>
      <c r="G16" s="2" t="s">
        <v>90</v>
      </c>
      <c r="H16" s="2"/>
      <c r="I16" s="1"/>
      <c r="J16" s="1" t="str">
        <f t="shared" si="0"/>
        <v>INITDTTM</v>
      </c>
      <c r="K16" s="1" t="str">
        <f t="shared" si="1"/>
        <v>DATE</v>
      </c>
      <c r="L16" s="1" t="str">
        <f t="shared" si="2"/>
        <v/>
      </c>
      <c r="M16" s="1" t="str">
        <f t="shared" si="3"/>
        <v/>
      </c>
      <c r="N16" s="1" t="str">
        <f t="shared" si="4"/>
        <v/>
      </c>
      <c r="O16" s="1" t="str">
        <f t="shared" si="5"/>
        <v>NOT NULL</v>
      </c>
      <c r="P16" s="1" t="str">
        <f t="shared" si="6"/>
        <v/>
      </c>
      <c r="Q16" s="1" t="s">
        <v>113</v>
      </c>
      <c r="R16" s="1"/>
      <c r="S16" s="1" t="str">
        <f>"COMMENT ON COLUMN " &amp; C3 &amp; "." &amp; C16 &amp; " IS '" &amp; B16 &amp; "'"</f>
        <v>COMMENT ON COLUMN VENDORS.INITDTTM IS '입력일시'</v>
      </c>
    </row>
    <row r="17" spans="1:19" x14ac:dyDescent="0.3">
      <c r="A17" s="2"/>
      <c r="B17" s="2" t="s">
        <v>99</v>
      </c>
      <c r="C17" s="2" t="s">
        <v>793</v>
      </c>
      <c r="D17" s="2" t="s">
        <v>197</v>
      </c>
      <c r="E17" s="2" t="s">
        <v>618</v>
      </c>
      <c r="F17" s="2">
        <v>20</v>
      </c>
      <c r="G17" s="2" t="s">
        <v>122</v>
      </c>
      <c r="H17" s="2"/>
      <c r="I17" s="1"/>
      <c r="J17" s="1" t="str">
        <f t="shared" si="0"/>
        <v>UPBY</v>
      </c>
      <c r="K17" s="1" t="str">
        <f t="shared" si="1"/>
        <v>NVARCHAR2</v>
      </c>
      <c r="L17" s="1" t="str">
        <f t="shared" si="2"/>
        <v>(</v>
      </c>
      <c r="M17" s="1">
        <f t="shared" si="3"/>
        <v>20</v>
      </c>
      <c r="N17" s="1" t="str">
        <f t="shared" si="4"/>
        <v>)</v>
      </c>
      <c r="O17" s="1" t="str">
        <f t="shared" si="5"/>
        <v>NULL</v>
      </c>
      <c r="P17" s="1" t="str">
        <f t="shared" si="6"/>
        <v/>
      </c>
      <c r="Q17" s="1" t="s">
        <v>113</v>
      </c>
      <c r="R17" s="1"/>
      <c r="S17" s="1" t="str">
        <f>"COMMENT ON COLUMN " &amp; C3 &amp; "." &amp; C17 &amp; " IS '" &amp; B17 &amp; "'"</f>
        <v>COMMENT ON COLUMN VENDORS.UPBY IS '수정자'</v>
      </c>
    </row>
    <row r="18" spans="1:19" x14ac:dyDescent="0.3">
      <c r="A18" s="2"/>
      <c r="B18" s="2" t="s">
        <v>259</v>
      </c>
      <c r="C18" s="2" t="s">
        <v>792</v>
      </c>
      <c r="D18" s="2" t="s">
        <v>259</v>
      </c>
      <c r="E18" s="2" t="s">
        <v>228</v>
      </c>
      <c r="F18" s="2"/>
      <c r="G18" s="2" t="s">
        <v>122</v>
      </c>
      <c r="H18" s="2"/>
      <c r="I18" s="1"/>
      <c r="J18" s="1" t="str">
        <f t="shared" si="0"/>
        <v>UPDTTM</v>
      </c>
      <c r="K18" s="1" t="str">
        <f t="shared" si="1"/>
        <v>DATE</v>
      </c>
      <c r="L18" s="1" t="str">
        <f t="shared" si="2"/>
        <v/>
      </c>
      <c r="M18" s="1" t="str">
        <f t="shared" si="3"/>
        <v/>
      </c>
      <c r="N18" s="1" t="str">
        <f t="shared" si="4"/>
        <v/>
      </c>
      <c r="O18" s="1" t="str">
        <f t="shared" si="5"/>
        <v>NULL</v>
      </c>
      <c r="P18" s="1" t="str">
        <f t="shared" si="6"/>
        <v/>
      </c>
      <c r="Q18" s="21" t="s">
        <v>723</v>
      </c>
      <c r="R18" s="1"/>
      <c r="S18" s="1" t="str">
        <f>"COMMENT ON COLUMN " &amp; C3 &amp; "." &amp; C18 &amp; " IS '" &amp; B18 &amp; "'"</f>
        <v>COMMENT ON COLUMN VENDORS.UPDTTM IS '수정일시'</v>
      </c>
    </row>
    <row r="19" spans="1:19" x14ac:dyDescent="0.3">
      <c r="J19" s="13" t="str">
        <f>"ALTER TABLE "&amp;C3&amp;""</f>
        <v>ALTER TABLE VENDORS</v>
      </c>
    </row>
    <row r="20" spans="1:19" x14ac:dyDescent="0.3">
      <c r="J20" s="13" t="str" cm="1">
        <f t="array" ref="J20">"ADD CONSTRAINT PK_"&amp;C3&amp;"
PRIMARY KEY (" &amp; _xlfn.TEXTJOIN(", ", TRUE, _xlfn._xlws.FILTER(C6:C54, A6:A54="Y")) &amp; ")"</f>
        <v>ADD CONSTRAINT PK_VENDORS
PRIMARY KEY (VENDOR_CODE)</v>
      </c>
    </row>
  </sheetData>
  <phoneticPr fontId="7" type="noConversion"/>
  <hyperlinks>
    <hyperlink ref="A1" location="리스트!A1" display="리스트로 이동" xr:uid="{B2005623-1959-4813-AA7A-EBAF60760A3E}"/>
  </hyperlinks>
  <pageMargins left="0.74805557727813721" right="0.74805557727813721" top="0.98430556058883667" bottom="0.98430556058883667" header="0.51166665554046631" footer="0.51166665554046631"/>
  <pageSetup paperSize="9" fitToWidth="0" fitToHeight="0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3C43B-D5EB-4E38-8CC1-EFB10FA546D1}">
  <dimension ref="A1:X19"/>
  <sheetViews>
    <sheetView zoomScaleNormal="100" zoomScaleSheetLayoutView="100" workbookViewId="0">
      <selection activeCell="J3" sqref="J3:Q3"/>
    </sheetView>
  </sheetViews>
  <sheetFormatPr defaultColWidth="9" defaultRowHeight="16.5" x14ac:dyDescent="0.3"/>
  <cols>
    <col min="1" max="1" width="8.625" bestFit="1" customWidth="1"/>
    <col min="2" max="2" width="13.75" bestFit="1" customWidth="1"/>
    <col min="3" max="3" width="14.125" bestFit="1" customWidth="1"/>
    <col min="4" max="4" width="19.375" bestFit="1" customWidth="1"/>
    <col min="5" max="5" width="12.75" bestFit="1" customWidth="1"/>
    <col min="6" max="6" width="6.75" bestFit="1" customWidth="1"/>
    <col min="7" max="7" width="9" bestFit="1" customWidth="1"/>
    <col min="8" max="8" width="9" customWidth="1"/>
    <col min="10" max="11" width="16.875" customWidth="1"/>
    <col min="12" max="12" width="1.625" bestFit="1" customWidth="1"/>
    <col min="13" max="13" width="3.75" customWidth="1"/>
    <col min="14" max="14" width="1.625" bestFit="1" customWidth="1"/>
    <col min="15" max="15" width="18.375" bestFit="1" customWidth="1"/>
    <col min="16" max="17" width="10.125" bestFit="1" customWidth="1"/>
    <col min="18" max="18" width="16.875" customWidth="1"/>
  </cols>
  <sheetData>
    <row r="1" spans="1:24" x14ac:dyDescent="0.3">
      <c r="A1" s="16" t="s">
        <v>615</v>
      </c>
    </row>
    <row r="2" spans="1:24" x14ac:dyDescent="0.3">
      <c r="A2" s="2"/>
      <c r="B2" s="2" t="s">
        <v>116</v>
      </c>
      <c r="C2" s="2" t="s">
        <v>119</v>
      </c>
      <c r="D2" s="2" t="s">
        <v>112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24" x14ac:dyDescent="0.3">
      <c r="A3" s="2"/>
      <c r="B3" s="2" t="s">
        <v>537</v>
      </c>
      <c r="C3" s="2" t="s">
        <v>527</v>
      </c>
      <c r="D3" s="2"/>
      <c r="E3" s="1"/>
      <c r="F3" s="1"/>
      <c r="G3" s="1"/>
      <c r="H3" s="1"/>
      <c r="I3" s="1"/>
      <c r="J3" s="13" t="str">
        <f>"DROP TABLE "&amp;C3&amp;" CASCADE CONSTRAINTS PURGE"</f>
        <v>DROP TABLE PLANT CASCADE CONSTRAINTS PURGE</v>
      </c>
      <c r="K3" s="1"/>
      <c r="L3" s="1"/>
      <c r="M3" s="1"/>
      <c r="N3" s="1"/>
      <c r="O3" s="1"/>
      <c r="P3" s="21"/>
      <c r="Q3" s="21" t="s">
        <v>771</v>
      </c>
      <c r="R3" s="1"/>
      <c r="S3" s="1"/>
    </row>
    <row r="4" spans="1:2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24" x14ac:dyDescent="0.3">
      <c r="A5" s="2" t="s">
        <v>88</v>
      </c>
      <c r="B5" s="2" t="s">
        <v>215</v>
      </c>
      <c r="C5" s="2" t="s">
        <v>252</v>
      </c>
      <c r="D5" s="2" t="s">
        <v>169</v>
      </c>
      <c r="E5" s="2" t="s">
        <v>265</v>
      </c>
      <c r="F5" s="2" t="s">
        <v>101</v>
      </c>
      <c r="G5" s="2" t="s">
        <v>205</v>
      </c>
      <c r="H5" s="2" t="s">
        <v>569</v>
      </c>
      <c r="I5" s="1"/>
      <c r="J5" s="1" t="str">
        <f>"CREATE TABLE "&amp;C3&amp;" ("</f>
        <v>CREATE TABLE PLANT (</v>
      </c>
      <c r="K5" s="1"/>
      <c r="L5" s="1"/>
      <c r="M5" s="1"/>
      <c r="N5" s="1"/>
      <c r="O5" s="1"/>
      <c r="P5" s="1"/>
      <c r="Q5" s="1"/>
      <c r="R5" s="1"/>
      <c r="S5" s="1" t="str">
        <f>"COMMENT ON TABLE " &amp; C3 &amp; " IS '" &amp; SUBSTITUTE(B3,"'","''") &amp; "'"</f>
        <v>COMMENT ON TABLE PLANT IS '플랜트'</v>
      </c>
      <c r="X5" s="13" t="s">
        <v>771</v>
      </c>
    </row>
    <row r="6" spans="1:24" x14ac:dyDescent="0.3">
      <c r="A6" s="2" t="s">
        <v>565</v>
      </c>
      <c r="B6" s="12" t="s">
        <v>780</v>
      </c>
      <c r="C6" s="14" t="s">
        <v>781</v>
      </c>
      <c r="D6" s="2"/>
      <c r="E6" s="2" t="s">
        <v>619</v>
      </c>
      <c r="F6" s="2">
        <v>20</v>
      </c>
      <c r="G6" s="2" t="s">
        <v>564</v>
      </c>
      <c r="H6" s="2"/>
      <c r="I6" s="1"/>
      <c r="J6" s="1" t="str">
        <f>""&amp;C6&amp;""</f>
        <v>COMPANY_CODE</v>
      </c>
      <c r="K6" s="1" t="str">
        <f>""&amp;E6&amp;""</f>
        <v>NVARCHAR2</v>
      </c>
      <c r="L6" s="1" t="str">
        <f>IF(F6="","","(")</f>
        <v>(</v>
      </c>
      <c r="M6" s="1">
        <f>IF(F6="","",F6)</f>
        <v>20</v>
      </c>
      <c r="N6" s="1" t="str">
        <f>IF(F6="","",")")</f>
        <v>)</v>
      </c>
      <c r="O6" s="1" t="str">
        <f t="shared" ref="O6:O17" si="0">IF(H6&lt;&gt;"","DEFAULT "&amp;H6,"")</f>
        <v/>
      </c>
      <c r="P6" s="1" t="str">
        <f>IF(G6="N","NOT NULL","NULL")</f>
        <v>NOT NULL</v>
      </c>
      <c r="Q6" s="1" t="s">
        <v>113</v>
      </c>
      <c r="S6" s="1" t="str">
        <f>"COMMENT ON COLUMN " &amp; C3 &amp; "." &amp; C6 &amp; " IS '" &amp; B6 &amp; "'"</f>
        <v>COMMENT ON COLUMN PLANT.COMPANY_CODE IS '회사코드'</v>
      </c>
      <c r="X6" s="13" t="s">
        <v>771</v>
      </c>
    </row>
    <row r="7" spans="1:24" x14ac:dyDescent="0.3">
      <c r="A7" s="2" t="s">
        <v>565</v>
      </c>
      <c r="B7" s="12" t="s">
        <v>538</v>
      </c>
      <c r="C7" s="14" t="s">
        <v>528</v>
      </c>
      <c r="D7" s="2"/>
      <c r="E7" s="2" t="s">
        <v>619</v>
      </c>
      <c r="F7" s="2">
        <v>20</v>
      </c>
      <c r="G7" s="2" t="s">
        <v>564</v>
      </c>
      <c r="H7" s="2"/>
      <c r="I7" s="1"/>
      <c r="J7" s="1" t="str">
        <f t="shared" ref="J7:J17" si="1">""&amp;C7&amp;""</f>
        <v>PLANT_CODE</v>
      </c>
      <c r="K7" s="1" t="str">
        <f t="shared" ref="K7:K17" si="2">""&amp;E7&amp;""</f>
        <v>NVARCHAR2</v>
      </c>
      <c r="L7" s="1" t="str">
        <f t="shared" ref="L7:L17" si="3">IF(F7="","","(")</f>
        <v>(</v>
      </c>
      <c r="M7" s="1">
        <f t="shared" ref="M7:M17" si="4">IF(F7="","",F7)</f>
        <v>20</v>
      </c>
      <c r="N7" s="1" t="str">
        <f t="shared" ref="N7:N17" si="5">IF(F7="","",")")</f>
        <v>)</v>
      </c>
      <c r="O7" s="1" t="str">
        <f t="shared" si="0"/>
        <v/>
      </c>
      <c r="P7" s="1" t="str">
        <f t="shared" ref="P7:P17" si="6">IF(G7="N","NOT NULL","NULL")</f>
        <v>NOT NULL</v>
      </c>
      <c r="Q7" s="1" t="s">
        <v>113</v>
      </c>
      <c r="R7" s="1"/>
      <c r="S7" s="1" t="str">
        <f>"COMMENT ON COLUMN " &amp; C3 &amp; "." &amp; C7 &amp; " IS '" &amp; B7 &amp; "'"</f>
        <v>COMMENT ON COLUMN PLANT.PLANT_CODE IS '공장코드'</v>
      </c>
      <c r="X7" s="13" t="s">
        <v>771</v>
      </c>
    </row>
    <row r="8" spans="1:24" x14ac:dyDescent="0.3">
      <c r="A8" s="2"/>
      <c r="B8" s="2" t="s">
        <v>539</v>
      </c>
      <c r="C8" s="14" t="s">
        <v>529</v>
      </c>
      <c r="D8" s="2"/>
      <c r="E8" s="2" t="s">
        <v>618</v>
      </c>
      <c r="F8" s="2">
        <v>100</v>
      </c>
      <c r="G8" s="2" t="s">
        <v>564</v>
      </c>
      <c r="H8" s="2"/>
      <c r="I8" s="1"/>
      <c r="J8" s="1" t="str">
        <f t="shared" si="1"/>
        <v>PLANT_NAME</v>
      </c>
      <c r="K8" s="1" t="str">
        <f t="shared" si="2"/>
        <v>NVARCHAR2</v>
      </c>
      <c r="L8" s="1" t="str">
        <f t="shared" si="3"/>
        <v>(</v>
      </c>
      <c r="M8" s="1">
        <f t="shared" si="4"/>
        <v>100</v>
      </c>
      <c r="N8" s="1" t="str">
        <f t="shared" si="5"/>
        <v>)</v>
      </c>
      <c r="O8" s="1" t="str">
        <f t="shared" si="0"/>
        <v/>
      </c>
      <c r="P8" s="1" t="str">
        <f t="shared" si="6"/>
        <v>NOT NULL</v>
      </c>
      <c r="Q8" s="1" t="s">
        <v>113</v>
      </c>
      <c r="R8" s="1"/>
      <c r="S8" s="1" t="str">
        <f>"COMMENT ON COLUMN " &amp; C3 &amp; "." &amp; C8 &amp; " IS '" &amp; B8 &amp; "'"</f>
        <v>COMMENT ON COLUMN PLANT.PLANT_NAME IS '공장명'</v>
      </c>
      <c r="X8" s="13" t="s">
        <v>771</v>
      </c>
    </row>
    <row r="9" spans="1:24" x14ac:dyDescent="0.3">
      <c r="A9" s="2"/>
      <c r="B9" s="2" t="s">
        <v>542</v>
      </c>
      <c r="C9" s="14" t="s">
        <v>532</v>
      </c>
      <c r="D9" s="2"/>
      <c r="E9" s="2" t="s">
        <v>618</v>
      </c>
      <c r="F9" s="2">
        <v>20</v>
      </c>
      <c r="G9" s="2" t="s">
        <v>565</v>
      </c>
      <c r="H9" s="2"/>
      <c r="I9" s="1"/>
      <c r="J9" s="1" t="str">
        <f t="shared" si="1"/>
        <v>PLANT_TYPE</v>
      </c>
      <c r="K9" s="1" t="str">
        <f t="shared" si="2"/>
        <v>NVARCHAR2</v>
      </c>
      <c r="L9" s="1" t="str">
        <f t="shared" si="3"/>
        <v>(</v>
      </c>
      <c r="M9" s="1">
        <f t="shared" si="4"/>
        <v>20</v>
      </c>
      <c r="N9" s="1" t="str">
        <f t="shared" si="5"/>
        <v>)</v>
      </c>
      <c r="O9" s="1" t="str">
        <f t="shared" si="0"/>
        <v/>
      </c>
      <c r="P9" s="1" t="str">
        <f t="shared" si="6"/>
        <v>NULL</v>
      </c>
      <c r="Q9" s="1" t="s">
        <v>113</v>
      </c>
      <c r="R9" s="1"/>
      <c r="S9" s="1" t="str">
        <f>"COMMENT ON COLUMN " &amp; C3 &amp; "." &amp; C9 &amp; " IS '" &amp; B9 &amp; "'"</f>
        <v>COMMENT ON COLUMN PLANT.PLANT_TYPE IS '공장유형'</v>
      </c>
      <c r="X9" s="13" t="s">
        <v>771</v>
      </c>
    </row>
    <row r="10" spans="1:24" x14ac:dyDescent="0.3">
      <c r="A10" s="2"/>
      <c r="B10" s="2" t="s">
        <v>533</v>
      </c>
      <c r="C10" s="14" t="s">
        <v>427</v>
      </c>
      <c r="D10" s="2"/>
      <c r="E10" s="2" t="s">
        <v>618</v>
      </c>
      <c r="F10" s="2">
        <v>200</v>
      </c>
      <c r="G10" s="2" t="s">
        <v>565</v>
      </c>
      <c r="H10" s="2"/>
      <c r="I10" s="1"/>
      <c r="J10" s="1" t="str">
        <f t="shared" si="1"/>
        <v>LOCATION</v>
      </c>
      <c r="K10" s="1" t="str">
        <f t="shared" si="2"/>
        <v>NVARCHAR2</v>
      </c>
      <c r="L10" s="1" t="str">
        <f t="shared" si="3"/>
        <v>(</v>
      </c>
      <c r="M10" s="1">
        <f t="shared" si="4"/>
        <v>200</v>
      </c>
      <c r="N10" s="1" t="str">
        <f t="shared" si="5"/>
        <v>)</v>
      </c>
      <c r="O10" s="1" t="str">
        <f t="shared" si="0"/>
        <v/>
      </c>
      <c r="P10" s="1" t="str">
        <f t="shared" si="6"/>
        <v>NULL</v>
      </c>
      <c r="Q10" s="1" t="s">
        <v>113</v>
      </c>
      <c r="R10" s="1"/>
      <c r="S10" s="1" t="str">
        <f>"COMMENT ON COLUMN " &amp; C3 &amp; "." &amp; C10 &amp; " IS '" &amp; B10 &amp; "'"</f>
        <v>COMMENT ON COLUMN PLANT.LOCATION IS '주소'</v>
      </c>
      <c r="X10" s="13" t="s">
        <v>771</v>
      </c>
    </row>
    <row r="11" spans="1:24" x14ac:dyDescent="0.3">
      <c r="A11" s="2"/>
      <c r="B11" s="2" t="s">
        <v>543</v>
      </c>
      <c r="C11" s="14" t="s">
        <v>535</v>
      </c>
      <c r="D11" s="2"/>
      <c r="E11" s="2" t="s">
        <v>618</v>
      </c>
      <c r="F11" s="2">
        <v>20</v>
      </c>
      <c r="G11" s="2" t="s">
        <v>565</v>
      </c>
      <c r="H11" s="2"/>
      <c r="I11" s="1"/>
      <c r="J11" s="1" t="str">
        <f t="shared" si="1"/>
        <v>TEL_NO</v>
      </c>
      <c r="K11" s="1" t="str">
        <f t="shared" si="2"/>
        <v>NVARCHAR2</v>
      </c>
      <c r="L11" s="1" t="str">
        <f t="shared" si="3"/>
        <v>(</v>
      </c>
      <c r="M11" s="1">
        <f t="shared" si="4"/>
        <v>20</v>
      </c>
      <c r="N11" s="1" t="str">
        <f t="shared" si="5"/>
        <v>)</v>
      </c>
      <c r="O11" s="1" t="str">
        <f t="shared" si="0"/>
        <v/>
      </c>
      <c r="P11" s="1" t="str">
        <f t="shared" si="6"/>
        <v>NULL</v>
      </c>
      <c r="Q11" s="1" t="s">
        <v>113</v>
      </c>
      <c r="R11" s="1"/>
      <c r="S11" s="1" t="str">
        <f>"COMMENT ON COLUMN " &amp; C3 &amp; "." &amp; C11 &amp; " IS '" &amp; B11 &amp; "'"</f>
        <v>COMMENT ON COLUMN PLANT.TEL_NO IS '전화번호'</v>
      </c>
      <c r="X11" s="13" t="s">
        <v>771</v>
      </c>
    </row>
    <row r="12" spans="1:24" x14ac:dyDescent="0.3">
      <c r="A12" s="2"/>
      <c r="B12" s="2" t="s">
        <v>534</v>
      </c>
      <c r="C12" s="14" t="s">
        <v>217</v>
      </c>
      <c r="D12" s="2"/>
      <c r="E12" s="2" t="s">
        <v>563</v>
      </c>
      <c r="F12" s="2">
        <v>1</v>
      </c>
      <c r="G12" s="2" t="s">
        <v>564</v>
      </c>
      <c r="H12" s="2"/>
      <c r="I12" s="1"/>
      <c r="J12" s="1" t="str">
        <f t="shared" si="1"/>
        <v>USEFLAG</v>
      </c>
      <c r="K12" s="1" t="str">
        <f t="shared" si="2"/>
        <v>CHAR</v>
      </c>
      <c r="L12" s="1" t="str">
        <f t="shared" si="3"/>
        <v>(</v>
      </c>
      <c r="M12" s="1">
        <f t="shared" si="4"/>
        <v>1</v>
      </c>
      <c r="N12" s="1" t="str">
        <f t="shared" si="5"/>
        <v>)</v>
      </c>
      <c r="O12" s="1" t="str">
        <f t="shared" si="0"/>
        <v/>
      </c>
      <c r="P12" s="1" t="str">
        <f t="shared" si="6"/>
        <v>NOT NULL</v>
      </c>
      <c r="Q12" s="1" t="s">
        <v>113</v>
      </c>
      <c r="R12" s="1"/>
      <c r="S12" s="1" t="str">
        <f>"COMMENT ON COLUMN " &amp; C3 &amp; "." &amp; C12 &amp; " IS '" &amp; B12 &amp; "'"</f>
        <v>COMMENT ON COLUMN PLANT.USEFLAG IS '사용여부'</v>
      </c>
      <c r="X12" s="13" t="s">
        <v>771</v>
      </c>
    </row>
    <row r="13" spans="1:24" x14ac:dyDescent="0.3">
      <c r="A13" s="2"/>
      <c r="B13" s="2" t="s">
        <v>544</v>
      </c>
      <c r="C13" s="2" t="s">
        <v>536</v>
      </c>
      <c r="D13" s="2"/>
      <c r="E13" s="2" t="s">
        <v>546</v>
      </c>
      <c r="F13" s="2"/>
      <c r="G13" s="2"/>
      <c r="H13" s="2"/>
      <c r="I13" s="1"/>
      <c r="J13" s="1" t="str">
        <f t="shared" si="1"/>
        <v>SORT_SEQ</v>
      </c>
      <c r="K13" s="1" t="str">
        <f t="shared" si="2"/>
        <v>NUMBER</v>
      </c>
      <c r="L13" s="1" t="str">
        <f t="shared" si="3"/>
        <v/>
      </c>
      <c r="M13" s="1" t="str">
        <f t="shared" si="4"/>
        <v/>
      </c>
      <c r="N13" s="1" t="str">
        <f t="shared" si="5"/>
        <v/>
      </c>
      <c r="O13" s="1" t="str">
        <f t="shared" si="0"/>
        <v/>
      </c>
      <c r="P13" s="1" t="str">
        <f t="shared" si="6"/>
        <v>NULL</v>
      </c>
      <c r="Q13" s="1" t="s">
        <v>113</v>
      </c>
      <c r="R13" s="1"/>
      <c r="S13" s="1" t="str">
        <f>"COMMENT ON COLUMN " &amp; C3 &amp; "." &amp; C13 &amp; " IS '" &amp; B13 &amp; "'"</f>
        <v>COMMENT ON COLUMN PLANT.SORT_SEQ IS '정렬순서'</v>
      </c>
      <c r="X13" s="13" t="s">
        <v>771</v>
      </c>
    </row>
    <row r="14" spans="1:24" x14ac:dyDescent="0.3">
      <c r="A14" s="2"/>
      <c r="B14" s="2" t="s">
        <v>111</v>
      </c>
      <c r="C14" s="2" t="s">
        <v>790</v>
      </c>
      <c r="D14" s="2" t="s">
        <v>188</v>
      </c>
      <c r="E14" s="2" t="s">
        <v>618</v>
      </c>
      <c r="F14" s="2">
        <v>20</v>
      </c>
      <c r="G14" s="2" t="s">
        <v>90</v>
      </c>
      <c r="H14" s="15"/>
      <c r="I14" s="1"/>
      <c r="J14" s="1" t="str">
        <f t="shared" si="1"/>
        <v>INITBY</v>
      </c>
      <c r="K14" s="1" t="str">
        <f t="shared" si="2"/>
        <v>NVARCHAR2</v>
      </c>
      <c r="L14" s="1" t="str">
        <f t="shared" si="3"/>
        <v>(</v>
      </c>
      <c r="M14" s="1">
        <f t="shared" si="4"/>
        <v>20</v>
      </c>
      <c r="N14" s="1" t="str">
        <f t="shared" si="5"/>
        <v>)</v>
      </c>
      <c r="O14" s="1" t="str">
        <f t="shared" si="0"/>
        <v/>
      </c>
      <c r="P14" s="1" t="str">
        <f t="shared" si="6"/>
        <v>NOT NULL</v>
      </c>
      <c r="Q14" s="1" t="s">
        <v>113</v>
      </c>
      <c r="R14" s="1"/>
      <c r="S14" s="1" t="str">
        <f>"COMMENT ON COLUMN " &amp; C3 &amp; "." &amp; C14 &amp; " IS '" &amp; B14 &amp; "'"</f>
        <v>COMMENT ON COLUMN PLANT.INITBY IS '입력자'</v>
      </c>
      <c r="X14" s="13" t="s">
        <v>771</v>
      </c>
    </row>
    <row r="15" spans="1:24" x14ac:dyDescent="0.3">
      <c r="A15" s="2"/>
      <c r="B15" s="2" t="s">
        <v>254</v>
      </c>
      <c r="C15" s="2" t="s">
        <v>791</v>
      </c>
      <c r="D15" s="2" t="s">
        <v>254</v>
      </c>
      <c r="E15" s="2" t="s">
        <v>228</v>
      </c>
      <c r="F15" s="2"/>
      <c r="G15" s="2" t="s">
        <v>90</v>
      </c>
      <c r="H15" s="12" t="s">
        <v>570</v>
      </c>
      <c r="I15" s="1"/>
      <c r="J15" s="1" t="str">
        <f t="shared" si="1"/>
        <v>INITDTTM</v>
      </c>
      <c r="K15" s="1" t="str">
        <f t="shared" si="2"/>
        <v>DATE</v>
      </c>
      <c r="L15" s="1" t="str">
        <f t="shared" si="3"/>
        <v/>
      </c>
      <c r="M15" s="1" t="str">
        <f t="shared" si="4"/>
        <v/>
      </c>
      <c r="N15" s="1" t="str">
        <f t="shared" si="5"/>
        <v/>
      </c>
      <c r="O15" s="1" t="str">
        <f t="shared" si="0"/>
        <v>DEFAULT SYSDATE</v>
      </c>
      <c r="P15" s="1" t="str">
        <f t="shared" si="6"/>
        <v>NOT NULL</v>
      </c>
      <c r="Q15" s="1" t="s">
        <v>113</v>
      </c>
      <c r="R15" s="1"/>
      <c r="S15" s="1" t="str">
        <f>"COMMENT ON COLUMN " &amp; C3 &amp; "." &amp; C15 &amp; " IS '" &amp; B15 &amp; "'"</f>
        <v>COMMENT ON COLUMN PLANT.INITDTTM IS '입력일시'</v>
      </c>
      <c r="X15" s="13" t="s">
        <v>771</v>
      </c>
    </row>
    <row r="16" spans="1:24" x14ac:dyDescent="0.3">
      <c r="A16" s="2"/>
      <c r="B16" s="2" t="s">
        <v>99</v>
      </c>
      <c r="C16" s="2" t="s">
        <v>793</v>
      </c>
      <c r="D16" s="2" t="s">
        <v>197</v>
      </c>
      <c r="E16" s="2" t="s">
        <v>618</v>
      </c>
      <c r="F16" s="2">
        <v>20</v>
      </c>
      <c r="G16" s="2" t="s">
        <v>122</v>
      </c>
      <c r="H16" s="15"/>
      <c r="I16" s="1"/>
      <c r="J16" s="1" t="str">
        <f t="shared" si="1"/>
        <v>UPBY</v>
      </c>
      <c r="K16" s="1" t="str">
        <f t="shared" si="2"/>
        <v>NVARCHAR2</v>
      </c>
      <c r="L16" s="1" t="str">
        <f t="shared" si="3"/>
        <v>(</v>
      </c>
      <c r="M16" s="1">
        <f t="shared" si="4"/>
        <v>20</v>
      </c>
      <c r="N16" s="1" t="str">
        <f t="shared" si="5"/>
        <v>)</v>
      </c>
      <c r="O16" s="1" t="str">
        <f t="shared" si="0"/>
        <v/>
      </c>
      <c r="P16" s="1" t="str">
        <f t="shared" si="6"/>
        <v>NULL</v>
      </c>
      <c r="Q16" s="1" t="s">
        <v>113</v>
      </c>
      <c r="R16" s="1"/>
      <c r="S16" s="1" t="str">
        <f>"COMMENT ON COLUMN " &amp; C3 &amp; "." &amp; C16 &amp; " IS '" &amp; B16 &amp; "'"</f>
        <v>COMMENT ON COLUMN PLANT.UPBY IS '수정자'</v>
      </c>
      <c r="X16" s="13" t="s">
        <v>771</v>
      </c>
    </row>
    <row r="17" spans="1:24" x14ac:dyDescent="0.3">
      <c r="A17" s="2"/>
      <c r="B17" s="2" t="s">
        <v>259</v>
      </c>
      <c r="C17" s="2" t="s">
        <v>792</v>
      </c>
      <c r="D17" s="2" t="s">
        <v>259</v>
      </c>
      <c r="E17" s="2" t="s">
        <v>228</v>
      </c>
      <c r="F17" s="2"/>
      <c r="G17" s="2" t="s">
        <v>122</v>
      </c>
      <c r="H17" s="12"/>
      <c r="I17" s="1"/>
      <c r="J17" s="1" t="str">
        <f t="shared" si="1"/>
        <v>UPDTTM</v>
      </c>
      <c r="K17" s="1" t="str">
        <f t="shared" si="2"/>
        <v>DATE</v>
      </c>
      <c r="L17" s="1" t="str">
        <f t="shared" si="3"/>
        <v/>
      </c>
      <c r="M17" s="1" t="str">
        <f t="shared" si="4"/>
        <v/>
      </c>
      <c r="N17" s="1" t="str">
        <f t="shared" si="5"/>
        <v/>
      </c>
      <c r="O17" s="1" t="str">
        <f t="shared" si="0"/>
        <v/>
      </c>
      <c r="P17" s="1" t="str">
        <f t="shared" si="6"/>
        <v>NULL</v>
      </c>
      <c r="Q17" s="21" t="s">
        <v>723</v>
      </c>
      <c r="R17" s="1"/>
      <c r="S17" s="1" t="str">
        <f>"COMMENT ON COLUMN " &amp; C3 &amp; "." &amp; C17 &amp; " IS '" &amp; B17 &amp; "'"</f>
        <v>COMMENT ON COLUMN PLANT.UPDTTM IS '수정일시'</v>
      </c>
      <c r="X17" s="13" t="s">
        <v>771</v>
      </c>
    </row>
    <row r="18" spans="1:24" x14ac:dyDescent="0.3">
      <c r="J18" s="13" t="str">
        <f>"ALTER TABLE "&amp;C3&amp;""</f>
        <v>ALTER TABLE PLANT</v>
      </c>
    </row>
    <row r="19" spans="1:24" x14ac:dyDescent="0.3">
      <c r="J19" s="13" t="str" cm="1">
        <f t="array" ref="J19">"ADD CONSTRAINT PK_"&amp;C3&amp;" PRIMARY KEY (" &amp; _xlfn.TEXTJOIN(", ", TRUE, _xlfn._xlws.FILTER(C6:C62, A6:A62="Y")) &amp; ")"</f>
        <v>ADD CONSTRAINT PK_PLANT PRIMARY KEY (COMPANY_CODE, PLANT_CODE)</v>
      </c>
      <c r="Q19" s="13" t="s">
        <v>771</v>
      </c>
    </row>
  </sheetData>
  <phoneticPr fontId="7" type="noConversion"/>
  <hyperlinks>
    <hyperlink ref="A1" location="리스트!A1" display="리스트로 이동" xr:uid="{036A7B3A-39DF-49E2-8A23-5C5272145D0C}"/>
  </hyperlinks>
  <pageMargins left="0.74805557727813721" right="0.74805557727813721" top="0.98430556058883667" bottom="0.98430556058883667" header="0.51166665554046631" footer="0.51166665554046631"/>
  <pageSetup paperSize="9" fitToWidth="0" fitToHeight="0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FAC82-3344-4D18-9795-0577BFE7B770}">
  <dimension ref="A1:X18"/>
  <sheetViews>
    <sheetView zoomScaleNormal="100" zoomScaleSheetLayoutView="100" workbookViewId="0">
      <selection activeCell="J3" sqref="J3:Q3"/>
    </sheetView>
  </sheetViews>
  <sheetFormatPr defaultColWidth="9" defaultRowHeight="16.5" x14ac:dyDescent="0.3"/>
  <cols>
    <col min="1" max="1" width="8.625" bestFit="1" customWidth="1"/>
    <col min="2" max="2" width="13.75" bestFit="1" customWidth="1"/>
    <col min="3" max="3" width="14.125" bestFit="1" customWidth="1"/>
    <col min="4" max="4" width="19.375" bestFit="1" customWidth="1"/>
    <col min="5" max="5" width="12.75" bestFit="1" customWidth="1"/>
    <col min="6" max="6" width="6.75" bestFit="1" customWidth="1"/>
    <col min="7" max="7" width="9" bestFit="1" customWidth="1"/>
    <col min="8" max="8" width="9" customWidth="1"/>
    <col min="10" max="11" width="16.875" customWidth="1"/>
    <col min="12" max="12" width="1.625" bestFit="1" customWidth="1"/>
    <col min="13" max="13" width="3.75" customWidth="1"/>
    <col min="14" max="14" width="1.625" bestFit="1" customWidth="1"/>
    <col min="15" max="15" width="18.375" bestFit="1" customWidth="1"/>
    <col min="16" max="17" width="10.125" bestFit="1" customWidth="1"/>
    <col min="18" max="18" width="16.875" customWidth="1"/>
  </cols>
  <sheetData>
    <row r="1" spans="1:24" x14ac:dyDescent="0.3">
      <c r="A1" s="16" t="s">
        <v>615</v>
      </c>
    </row>
    <row r="2" spans="1:24" x14ac:dyDescent="0.3">
      <c r="A2" s="2"/>
      <c r="B2" s="2" t="s">
        <v>116</v>
      </c>
      <c r="C2" s="2" t="s">
        <v>119</v>
      </c>
      <c r="D2" s="2" t="s">
        <v>112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24" x14ac:dyDescent="0.3">
      <c r="A3" s="2"/>
      <c r="B3" s="2" t="s">
        <v>28</v>
      </c>
      <c r="C3" s="12" t="s">
        <v>646</v>
      </c>
      <c r="D3" s="2"/>
      <c r="E3" s="1"/>
      <c r="F3" s="1"/>
      <c r="G3" s="1"/>
      <c r="H3" s="1"/>
      <c r="I3" s="1"/>
      <c r="J3" s="13" t="str">
        <f>"DROP TABLE "&amp;C3&amp;" CASCADE CONSTRAINTS PURGE"</f>
        <v>DROP TABLE PROCESS CASCADE CONSTRAINTS PURGE</v>
      </c>
      <c r="K3" s="1"/>
      <c r="L3" s="1"/>
      <c r="M3" s="1"/>
      <c r="N3" s="1"/>
      <c r="O3" s="1"/>
      <c r="P3" s="21"/>
      <c r="Q3" s="21" t="s">
        <v>771</v>
      </c>
      <c r="R3" s="1"/>
      <c r="S3" s="1"/>
    </row>
    <row r="4" spans="1:2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24" x14ac:dyDescent="0.3">
      <c r="A5" s="2" t="s">
        <v>88</v>
      </c>
      <c r="B5" s="2" t="s">
        <v>215</v>
      </c>
      <c r="C5" s="2" t="s">
        <v>252</v>
      </c>
      <c r="D5" s="2" t="s">
        <v>169</v>
      </c>
      <c r="E5" s="2" t="s">
        <v>265</v>
      </c>
      <c r="F5" s="2" t="s">
        <v>101</v>
      </c>
      <c r="G5" s="2" t="s">
        <v>205</v>
      </c>
      <c r="H5" s="12" t="s">
        <v>569</v>
      </c>
      <c r="I5" s="1"/>
      <c r="J5" s="1" t="str">
        <f>"CREATE TABLE "&amp;C3&amp;" ("</f>
        <v>CREATE TABLE PROCESS (</v>
      </c>
      <c r="K5" s="1"/>
      <c r="L5" s="1"/>
      <c r="M5" s="1"/>
      <c r="N5" s="1"/>
      <c r="O5" s="1"/>
      <c r="P5" s="1"/>
      <c r="Q5" s="1"/>
      <c r="R5" s="1"/>
      <c r="S5" s="1" t="str">
        <f>"COMMENT ON TABLE " &amp; C3 &amp; " IS '" &amp; SUBSTITUTE(B3,"'","''") &amp; "'"</f>
        <v>COMMENT ON TABLE PROCESS IS '공정관리'</v>
      </c>
      <c r="X5" s="13" t="s">
        <v>771</v>
      </c>
    </row>
    <row r="6" spans="1:24" x14ac:dyDescent="0.3">
      <c r="A6" s="2" t="s">
        <v>122</v>
      </c>
      <c r="B6" s="2" t="s">
        <v>20</v>
      </c>
      <c r="C6" s="2" t="s">
        <v>528</v>
      </c>
      <c r="D6" s="2" t="s">
        <v>293</v>
      </c>
      <c r="E6" s="12" t="s">
        <v>618</v>
      </c>
      <c r="F6" s="2">
        <v>10</v>
      </c>
      <c r="G6" s="2" t="s">
        <v>90</v>
      </c>
      <c r="H6" s="12"/>
      <c r="I6" s="1"/>
      <c r="J6" s="1" t="str">
        <f>""&amp;C6&amp;""</f>
        <v>PLANT_CODE</v>
      </c>
      <c r="K6" s="1" t="str">
        <f>""&amp;E6&amp;""</f>
        <v>NVARCHAR2</v>
      </c>
      <c r="L6" s="1" t="str">
        <f>IF(F6="","","(")</f>
        <v>(</v>
      </c>
      <c r="M6" s="1">
        <f>IF(F6="","",F6)</f>
        <v>10</v>
      </c>
      <c r="N6" s="1" t="str">
        <f>IF(F6="","",")")</f>
        <v>)</v>
      </c>
      <c r="O6" s="1" t="str">
        <f t="shared" ref="O6:O16" si="0">IF(H6&lt;&gt;"","DEFAULT "&amp;H6,"")</f>
        <v/>
      </c>
      <c r="P6" s="1" t="str">
        <f>IF(G6="N","NOT NULL","NULL")</f>
        <v>NOT NULL</v>
      </c>
      <c r="Q6" s="1" t="s">
        <v>113</v>
      </c>
      <c r="S6" s="1" t="str">
        <f>"COMMENT ON COLUMN " &amp; C3 &amp; "." &amp; C6 &amp; " IS '" &amp; B6 &amp; "'"</f>
        <v>COMMENT ON COLUMN PROCESS.PLANT_CODE IS '고객사'</v>
      </c>
      <c r="X6" s="13" t="s">
        <v>771</v>
      </c>
    </row>
    <row r="7" spans="1:24" x14ac:dyDescent="0.3">
      <c r="A7" s="2" t="s">
        <v>122</v>
      </c>
      <c r="B7" s="2" t="s">
        <v>245</v>
      </c>
      <c r="C7" s="2" t="s">
        <v>291</v>
      </c>
      <c r="D7" s="2" t="s">
        <v>507</v>
      </c>
      <c r="E7" s="2" t="s">
        <v>618</v>
      </c>
      <c r="F7" s="2">
        <v>10</v>
      </c>
      <c r="G7" s="2" t="s">
        <v>90</v>
      </c>
      <c r="H7" s="12"/>
      <c r="I7" s="1"/>
      <c r="J7" s="1" t="str">
        <f t="shared" ref="J7:J16" si="1">""&amp;C7&amp;""</f>
        <v>PROCESS_CODE</v>
      </c>
      <c r="K7" s="1" t="str">
        <f t="shared" ref="K7:K16" si="2">""&amp;E7&amp;""</f>
        <v>NVARCHAR2</v>
      </c>
      <c r="L7" s="1" t="str">
        <f t="shared" ref="L7:L16" si="3">IF(F7="","","(")</f>
        <v>(</v>
      </c>
      <c r="M7" s="1">
        <f t="shared" ref="M7:M16" si="4">IF(F7="","",F7)</f>
        <v>10</v>
      </c>
      <c r="N7" s="1" t="str">
        <f t="shared" ref="N7:N16" si="5">IF(F7="","",")")</f>
        <v>)</v>
      </c>
      <c r="O7" s="1" t="str">
        <f t="shared" si="0"/>
        <v/>
      </c>
      <c r="P7" s="1" t="str">
        <f t="shared" ref="P7:P16" si="6">IF(G7="N","NOT NULL","NULL")</f>
        <v>NOT NULL</v>
      </c>
      <c r="Q7" s="1" t="s">
        <v>113</v>
      </c>
      <c r="R7" s="1"/>
      <c r="S7" s="1" t="str">
        <f>"COMMENT ON COLUMN " &amp; C3 &amp; "." &amp; C7 &amp; " IS '" &amp; B7 &amp; "'"</f>
        <v>COMMENT ON COLUMN PROCESS.PROCESS_CODE IS '공정코드'</v>
      </c>
      <c r="X7" s="13" t="s">
        <v>771</v>
      </c>
    </row>
    <row r="8" spans="1:24" x14ac:dyDescent="0.3">
      <c r="A8" s="2"/>
      <c r="B8" s="2" t="s">
        <v>19</v>
      </c>
      <c r="C8" s="2" t="s">
        <v>289</v>
      </c>
      <c r="D8" s="2" t="s">
        <v>19</v>
      </c>
      <c r="E8" s="2" t="s">
        <v>618</v>
      </c>
      <c r="F8" s="2">
        <v>50</v>
      </c>
      <c r="G8" s="2" t="s">
        <v>90</v>
      </c>
      <c r="H8" s="12"/>
      <c r="I8" s="1"/>
      <c r="J8" s="1" t="str">
        <f t="shared" si="1"/>
        <v>PROCESS_NAME</v>
      </c>
      <c r="K8" s="1" t="str">
        <f t="shared" si="2"/>
        <v>NVARCHAR2</v>
      </c>
      <c r="L8" s="1" t="str">
        <f t="shared" si="3"/>
        <v>(</v>
      </c>
      <c r="M8" s="1">
        <f t="shared" si="4"/>
        <v>50</v>
      </c>
      <c r="N8" s="1" t="str">
        <f t="shared" si="5"/>
        <v>)</v>
      </c>
      <c r="O8" s="1" t="str">
        <f t="shared" si="0"/>
        <v/>
      </c>
      <c r="P8" s="1" t="str">
        <f t="shared" si="6"/>
        <v>NOT NULL</v>
      </c>
      <c r="Q8" s="1" t="s">
        <v>113</v>
      </c>
      <c r="R8" s="1"/>
      <c r="S8" s="1" t="str">
        <f>"COMMENT ON COLUMN " &amp; C3 &amp; "." &amp; C8 &amp; " IS '" &amp; B8 &amp; "'"</f>
        <v>COMMENT ON COLUMN PROCESS.PROCESS_NAME IS '공정명'</v>
      </c>
      <c r="X8" s="13" t="s">
        <v>771</v>
      </c>
    </row>
    <row r="9" spans="1:24" x14ac:dyDescent="0.3">
      <c r="A9" s="2"/>
      <c r="B9" s="2" t="s">
        <v>51</v>
      </c>
      <c r="C9" s="2" t="s">
        <v>68</v>
      </c>
      <c r="D9" s="2" t="s">
        <v>69</v>
      </c>
      <c r="E9" s="2" t="s">
        <v>618</v>
      </c>
      <c r="F9" s="2">
        <v>10</v>
      </c>
      <c r="G9" s="2" t="s">
        <v>122</v>
      </c>
      <c r="H9" s="12"/>
      <c r="I9" s="1"/>
      <c r="J9" s="1" t="str">
        <f t="shared" si="1"/>
        <v>PROCESS_LOCATION</v>
      </c>
      <c r="K9" s="1" t="str">
        <f t="shared" si="2"/>
        <v>NVARCHAR2</v>
      </c>
      <c r="L9" s="1" t="str">
        <f t="shared" si="3"/>
        <v>(</v>
      </c>
      <c r="M9" s="1">
        <f t="shared" si="4"/>
        <v>10</v>
      </c>
      <c r="N9" s="1" t="str">
        <f t="shared" si="5"/>
        <v>)</v>
      </c>
      <c r="O9" s="1" t="str">
        <f t="shared" si="0"/>
        <v/>
      </c>
      <c r="P9" s="1" t="str">
        <f t="shared" si="6"/>
        <v>NULL</v>
      </c>
      <c r="Q9" s="1" t="s">
        <v>113</v>
      </c>
      <c r="R9" s="1"/>
      <c r="S9" s="1" t="str">
        <f>"COMMENT ON COLUMN " &amp; C3 &amp; "." &amp; C9 &amp; " IS '" &amp; B9 &amp; "'"</f>
        <v>COMMENT ON COLUMN PROCESS.PROCESS_LOCATION IS '공정위치'</v>
      </c>
      <c r="X9" s="13" t="s">
        <v>771</v>
      </c>
    </row>
    <row r="10" spans="1:24" x14ac:dyDescent="0.3">
      <c r="A10" s="2"/>
      <c r="B10" s="2" t="s">
        <v>34</v>
      </c>
      <c r="C10" s="2" t="s">
        <v>55</v>
      </c>
      <c r="D10" s="2" t="s">
        <v>34</v>
      </c>
      <c r="E10" s="2" t="s">
        <v>618</v>
      </c>
      <c r="F10" s="2" t="s">
        <v>109</v>
      </c>
      <c r="G10" s="2" t="s">
        <v>122</v>
      </c>
      <c r="H10" s="12"/>
      <c r="I10" s="1"/>
      <c r="J10" s="1" t="str">
        <f t="shared" si="1"/>
        <v>PROCESS_DEC</v>
      </c>
      <c r="K10" s="1" t="str">
        <f t="shared" si="2"/>
        <v>NVARCHAR2</v>
      </c>
      <c r="L10" s="1" t="str">
        <f t="shared" si="3"/>
        <v>(</v>
      </c>
      <c r="M10" s="1" t="str">
        <f t="shared" si="4"/>
        <v>MAX</v>
      </c>
      <c r="N10" s="1" t="str">
        <f t="shared" si="5"/>
        <v>)</v>
      </c>
      <c r="O10" s="1" t="str">
        <f t="shared" si="0"/>
        <v/>
      </c>
      <c r="P10" s="1" t="str">
        <f t="shared" si="6"/>
        <v>NULL</v>
      </c>
      <c r="Q10" s="1" t="s">
        <v>113</v>
      </c>
      <c r="R10" s="1"/>
      <c r="S10" s="1" t="str">
        <f>"COMMENT ON COLUMN " &amp; C3 &amp; "." &amp; C10 &amp; " IS '" &amp; B10 &amp; "'"</f>
        <v>COMMENT ON COLUMN PROCESS.PROCESS_DEC IS '공정설명'</v>
      </c>
      <c r="X10" s="13" t="s">
        <v>771</v>
      </c>
    </row>
    <row r="11" spans="1:24" x14ac:dyDescent="0.3">
      <c r="A11" s="2"/>
      <c r="B11" s="2" t="s">
        <v>21</v>
      </c>
      <c r="C11" s="2" t="s">
        <v>95</v>
      </c>
      <c r="D11" s="2" t="s">
        <v>21</v>
      </c>
      <c r="E11" s="2" t="s">
        <v>545</v>
      </c>
      <c r="F11" s="2"/>
      <c r="G11" s="2" t="s">
        <v>90</v>
      </c>
      <c r="H11" s="12"/>
      <c r="I11" s="1"/>
      <c r="J11" s="1" t="str">
        <f t="shared" si="1"/>
        <v>SEQ</v>
      </c>
      <c r="K11" s="1" t="str">
        <f t="shared" si="2"/>
        <v>NUMBER</v>
      </c>
      <c r="L11" s="1" t="str">
        <f t="shared" si="3"/>
        <v/>
      </c>
      <c r="M11" s="1" t="str">
        <f t="shared" si="4"/>
        <v/>
      </c>
      <c r="N11" s="1" t="str">
        <f t="shared" si="5"/>
        <v/>
      </c>
      <c r="O11" s="1" t="str">
        <f t="shared" si="0"/>
        <v/>
      </c>
      <c r="P11" s="1" t="str">
        <f t="shared" si="6"/>
        <v>NOT NULL</v>
      </c>
      <c r="Q11" s="1" t="s">
        <v>113</v>
      </c>
      <c r="R11" s="1"/>
      <c r="S11" s="1" t="str">
        <f>"COMMENT ON COLUMN " &amp; C3 &amp; "." &amp; C11 &amp; " IS '" &amp; B11 &amp; "'"</f>
        <v>COMMENT ON COLUMN PROCESS.SEQ IS '순서'</v>
      </c>
      <c r="X11" s="13" t="s">
        <v>771</v>
      </c>
    </row>
    <row r="12" spans="1:24" x14ac:dyDescent="0.3">
      <c r="A12" s="2"/>
      <c r="B12" s="2" t="s">
        <v>210</v>
      </c>
      <c r="C12" s="2" t="s">
        <v>219</v>
      </c>
      <c r="D12" s="2" t="s">
        <v>210</v>
      </c>
      <c r="E12" s="2" t="s">
        <v>249</v>
      </c>
      <c r="F12" s="2">
        <v>1</v>
      </c>
      <c r="G12" s="2" t="s">
        <v>90</v>
      </c>
      <c r="H12" s="12"/>
      <c r="I12" s="1"/>
      <c r="J12" s="1" t="str">
        <f t="shared" si="1"/>
        <v>USEYN</v>
      </c>
      <c r="K12" s="1" t="str">
        <f t="shared" si="2"/>
        <v>CHAR</v>
      </c>
      <c r="L12" s="1" t="str">
        <f t="shared" si="3"/>
        <v>(</v>
      </c>
      <c r="M12" s="1">
        <f t="shared" si="4"/>
        <v>1</v>
      </c>
      <c r="N12" s="1" t="str">
        <f t="shared" si="5"/>
        <v>)</v>
      </c>
      <c r="O12" s="1" t="str">
        <f t="shared" si="0"/>
        <v/>
      </c>
      <c r="P12" s="1" t="str">
        <f t="shared" si="6"/>
        <v>NOT NULL</v>
      </c>
      <c r="Q12" s="1" t="s">
        <v>113</v>
      </c>
      <c r="R12" s="1"/>
      <c r="S12" s="1" t="str">
        <f>"COMMENT ON COLUMN " &amp; C3 &amp; "." &amp; C12 &amp; " IS '" &amp; B12 &amp; "'"</f>
        <v>COMMENT ON COLUMN PROCESS.USEYN IS '사용여부'</v>
      </c>
      <c r="X12" s="13" t="s">
        <v>771</v>
      </c>
    </row>
    <row r="13" spans="1:24" x14ac:dyDescent="0.3">
      <c r="A13" s="2"/>
      <c r="B13" s="2" t="s">
        <v>111</v>
      </c>
      <c r="C13" s="2" t="s">
        <v>790</v>
      </c>
      <c r="D13" s="2" t="s">
        <v>188</v>
      </c>
      <c r="E13" s="2" t="s">
        <v>618</v>
      </c>
      <c r="F13" s="2">
        <v>20</v>
      </c>
      <c r="G13" s="2" t="s">
        <v>90</v>
      </c>
      <c r="H13" s="15"/>
      <c r="I13" s="1"/>
      <c r="J13" s="1" t="str">
        <f t="shared" si="1"/>
        <v>INITBY</v>
      </c>
      <c r="K13" s="1" t="str">
        <f t="shared" si="2"/>
        <v>NVARCHAR2</v>
      </c>
      <c r="L13" s="1" t="str">
        <f t="shared" si="3"/>
        <v>(</v>
      </c>
      <c r="M13" s="1">
        <f t="shared" si="4"/>
        <v>20</v>
      </c>
      <c r="N13" s="1" t="str">
        <f t="shared" si="5"/>
        <v>)</v>
      </c>
      <c r="O13" s="1" t="str">
        <f t="shared" si="0"/>
        <v/>
      </c>
      <c r="P13" s="1" t="str">
        <f t="shared" si="6"/>
        <v>NOT NULL</v>
      </c>
      <c r="Q13" s="1" t="s">
        <v>113</v>
      </c>
      <c r="R13" s="1"/>
      <c r="S13" s="1" t="str">
        <f>"COMMENT ON COLUMN " &amp; C3 &amp; "." &amp; C13 &amp; " IS '" &amp; B13 &amp; "'"</f>
        <v>COMMENT ON COLUMN PROCESS.INITBY IS '입력자'</v>
      </c>
      <c r="X13" s="13" t="s">
        <v>771</v>
      </c>
    </row>
    <row r="14" spans="1:24" x14ac:dyDescent="0.3">
      <c r="A14" s="2"/>
      <c r="B14" s="2" t="s">
        <v>254</v>
      </c>
      <c r="C14" s="2" t="s">
        <v>791</v>
      </c>
      <c r="D14" s="2" t="s">
        <v>254</v>
      </c>
      <c r="E14" s="2" t="s">
        <v>228</v>
      </c>
      <c r="F14" s="2"/>
      <c r="G14" s="2" t="s">
        <v>90</v>
      </c>
      <c r="H14" s="12" t="s">
        <v>570</v>
      </c>
      <c r="I14" s="1"/>
      <c r="J14" s="1" t="str">
        <f t="shared" si="1"/>
        <v>INITDTTM</v>
      </c>
      <c r="K14" s="1" t="str">
        <f t="shared" si="2"/>
        <v>DATE</v>
      </c>
      <c r="L14" s="1" t="str">
        <f t="shared" si="3"/>
        <v/>
      </c>
      <c r="M14" s="1" t="str">
        <f t="shared" si="4"/>
        <v/>
      </c>
      <c r="N14" s="1" t="str">
        <f t="shared" si="5"/>
        <v/>
      </c>
      <c r="O14" s="1" t="str">
        <f t="shared" si="0"/>
        <v>DEFAULT SYSDATE</v>
      </c>
      <c r="P14" s="1" t="str">
        <f t="shared" si="6"/>
        <v>NOT NULL</v>
      </c>
      <c r="Q14" s="1" t="s">
        <v>113</v>
      </c>
      <c r="R14" s="1"/>
      <c r="S14" s="1" t="str">
        <f>"COMMENT ON COLUMN " &amp; C3 &amp; "." &amp; C14 &amp; " IS '" &amp; B14 &amp; "'"</f>
        <v>COMMENT ON COLUMN PROCESS.INITDTTM IS '입력일시'</v>
      </c>
      <c r="X14" s="13" t="s">
        <v>771</v>
      </c>
    </row>
    <row r="15" spans="1:24" x14ac:dyDescent="0.3">
      <c r="A15" s="2"/>
      <c r="B15" s="2" t="s">
        <v>99</v>
      </c>
      <c r="C15" s="2" t="s">
        <v>793</v>
      </c>
      <c r="D15" s="2" t="s">
        <v>197</v>
      </c>
      <c r="E15" s="2" t="s">
        <v>618</v>
      </c>
      <c r="F15" s="2">
        <v>20</v>
      </c>
      <c r="G15" s="2" t="s">
        <v>122</v>
      </c>
      <c r="H15" s="15"/>
      <c r="I15" s="1"/>
      <c r="J15" s="1" t="str">
        <f t="shared" si="1"/>
        <v>UPBY</v>
      </c>
      <c r="K15" s="1" t="str">
        <f t="shared" si="2"/>
        <v>NVARCHAR2</v>
      </c>
      <c r="L15" s="1" t="str">
        <f t="shared" si="3"/>
        <v>(</v>
      </c>
      <c r="M15" s="1">
        <f t="shared" si="4"/>
        <v>20</v>
      </c>
      <c r="N15" s="1" t="str">
        <f t="shared" si="5"/>
        <v>)</v>
      </c>
      <c r="O15" s="1" t="str">
        <f t="shared" si="0"/>
        <v/>
      </c>
      <c r="P15" s="1" t="str">
        <f t="shared" si="6"/>
        <v>NULL</v>
      </c>
      <c r="Q15" s="1" t="s">
        <v>113</v>
      </c>
      <c r="R15" s="1"/>
      <c r="S15" s="1" t="str">
        <f>"COMMENT ON COLUMN " &amp; C3 &amp; "." &amp; C15 &amp; " IS '" &amp; B15 &amp; "'"</f>
        <v>COMMENT ON COLUMN PROCESS.UPBY IS '수정자'</v>
      </c>
      <c r="X15" s="13" t="s">
        <v>771</v>
      </c>
    </row>
    <row r="16" spans="1:24" x14ac:dyDescent="0.3">
      <c r="A16" s="2"/>
      <c r="B16" s="2" t="s">
        <v>259</v>
      </c>
      <c r="C16" s="2" t="s">
        <v>792</v>
      </c>
      <c r="D16" s="2" t="s">
        <v>259</v>
      </c>
      <c r="E16" s="2" t="s">
        <v>228</v>
      </c>
      <c r="F16" s="2"/>
      <c r="G16" s="2" t="s">
        <v>122</v>
      </c>
      <c r="H16" s="12"/>
      <c r="I16" s="1"/>
      <c r="J16" s="1" t="str">
        <f t="shared" si="1"/>
        <v>UPDTTM</v>
      </c>
      <c r="K16" s="1" t="str">
        <f t="shared" si="2"/>
        <v>DATE</v>
      </c>
      <c r="L16" s="1" t="str">
        <f t="shared" si="3"/>
        <v/>
      </c>
      <c r="M16" s="1" t="str">
        <f t="shared" si="4"/>
        <v/>
      </c>
      <c r="N16" s="1" t="str">
        <f t="shared" si="5"/>
        <v/>
      </c>
      <c r="O16" s="1" t="str">
        <f t="shared" si="0"/>
        <v/>
      </c>
      <c r="P16" s="1" t="str">
        <f t="shared" si="6"/>
        <v>NULL</v>
      </c>
      <c r="Q16" s="21" t="s">
        <v>723</v>
      </c>
      <c r="R16" s="1"/>
      <c r="S16" s="1" t="str">
        <f>"COMMENT ON COLUMN " &amp; C3 &amp; "." &amp; C16 &amp; " IS '" &amp; B16 &amp; "'"</f>
        <v>COMMENT ON COLUMN PROCESS.UPDTTM IS '수정일시'</v>
      </c>
      <c r="X16" s="13" t="s">
        <v>771</v>
      </c>
    </row>
    <row r="17" spans="10:17" x14ac:dyDescent="0.3">
      <c r="J17" s="13" t="str">
        <f>"ALTER TABLE "&amp;C3&amp;""</f>
        <v>ALTER TABLE PROCESS</v>
      </c>
    </row>
    <row r="18" spans="10:17" x14ac:dyDescent="0.3">
      <c r="J18" s="13" t="str" cm="1">
        <f t="array" ref="J18">"ADD CONSTRAINT PK_"&amp;C3&amp;" PRIMARY KEY (" &amp; _xlfn.TEXTJOIN(", ", TRUE, _xlfn._xlws.FILTER(C6:C61, A6:A61="Y")) &amp; ")"</f>
        <v>ADD CONSTRAINT PK_PROCESS PRIMARY KEY (PLANT_CODE, PROCESS_CODE)</v>
      </c>
      <c r="Q18" s="13" t="s">
        <v>771</v>
      </c>
    </row>
  </sheetData>
  <phoneticPr fontId="7" type="noConversion"/>
  <hyperlinks>
    <hyperlink ref="A1" location="리스트!A1" display="리스트로 이동" xr:uid="{5ABE7F79-B7CF-459C-BD66-BBBCD3751CA5}"/>
  </hyperlinks>
  <pageMargins left="0.74805557727813721" right="0.74805557727813721" top="0.98430556058883667" bottom="0.98430556058883667" header="0.51166665554046631" footer="0.51166665554046631"/>
  <pageSetup paperSize="9" fitToWidth="0" fitToHeight="0" orientation="portrait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0AF77-AF29-4ED3-835B-79AE13488838}">
  <dimension ref="A1:S18"/>
  <sheetViews>
    <sheetView zoomScaleNormal="100" zoomScaleSheetLayoutView="100" workbookViewId="0">
      <selection activeCell="J3" sqref="J3:Q3"/>
    </sheetView>
  </sheetViews>
  <sheetFormatPr defaultColWidth="9" defaultRowHeight="16.5" x14ac:dyDescent="0.3"/>
  <cols>
    <col min="1" max="1" width="8.625" bestFit="1" customWidth="1"/>
    <col min="2" max="2" width="13.75" bestFit="1" customWidth="1"/>
    <col min="3" max="3" width="14.125" bestFit="1" customWidth="1"/>
    <col min="4" max="4" width="19.375" bestFit="1" customWidth="1"/>
    <col min="5" max="5" width="12.75" bestFit="1" customWidth="1"/>
    <col min="6" max="6" width="6.75" bestFit="1" customWidth="1"/>
    <col min="7" max="7" width="9" bestFit="1" customWidth="1"/>
    <col min="8" max="8" width="9" customWidth="1"/>
    <col min="10" max="11" width="16.875" customWidth="1"/>
    <col min="12" max="12" width="1.625" bestFit="1" customWidth="1"/>
    <col min="13" max="13" width="3.75" customWidth="1"/>
    <col min="14" max="14" width="1.625" bestFit="1" customWidth="1"/>
    <col min="15" max="15" width="10.125" bestFit="1" customWidth="1"/>
    <col min="16" max="16" width="18.375" bestFit="1" customWidth="1"/>
    <col min="17" max="17" width="10.125" bestFit="1" customWidth="1"/>
    <col min="18" max="18" width="16.875" customWidth="1"/>
  </cols>
  <sheetData>
    <row r="1" spans="1:19" x14ac:dyDescent="0.3">
      <c r="A1" s="16" t="s">
        <v>615</v>
      </c>
    </row>
    <row r="2" spans="1:19" x14ac:dyDescent="0.3">
      <c r="A2" s="2"/>
      <c r="B2" s="2" t="s">
        <v>116</v>
      </c>
      <c r="C2" s="2" t="s">
        <v>119</v>
      </c>
      <c r="D2" s="2" t="s">
        <v>112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3">
      <c r="A3" s="2"/>
      <c r="B3" s="12" t="s">
        <v>678</v>
      </c>
      <c r="C3" s="12" t="s">
        <v>679</v>
      </c>
      <c r="D3" s="2"/>
      <c r="E3" s="1"/>
      <c r="F3" s="1"/>
      <c r="G3" s="1"/>
      <c r="H3" s="1"/>
      <c r="I3" s="1"/>
      <c r="J3" s="13" t="str">
        <f>"DROP TABLE "&amp;C3&amp;" CASCADE CONSTRAINTS PURGE"</f>
        <v>DROP TABLE LINE CASCADE CONSTRAINTS PURGE</v>
      </c>
      <c r="K3" s="1"/>
      <c r="L3" s="1"/>
      <c r="M3" s="1"/>
      <c r="N3" s="1"/>
      <c r="O3" s="1"/>
      <c r="P3" s="21"/>
      <c r="Q3" s="21" t="s">
        <v>771</v>
      </c>
      <c r="R3" s="1"/>
      <c r="S3" s="1"/>
    </row>
    <row r="4" spans="1:19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3">
      <c r="A5" s="2" t="s">
        <v>88</v>
      </c>
      <c r="B5" s="2" t="s">
        <v>215</v>
      </c>
      <c r="C5" s="2" t="s">
        <v>252</v>
      </c>
      <c r="D5" s="2" t="s">
        <v>169</v>
      </c>
      <c r="E5" s="2" t="s">
        <v>265</v>
      </c>
      <c r="F5" s="2" t="s">
        <v>101</v>
      </c>
      <c r="G5" s="2" t="s">
        <v>205</v>
      </c>
      <c r="H5" s="12" t="s">
        <v>569</v>
      </c>
      <c r="I5" s="1"/>
      <c r="J5" s="1" t="str">
        <f>"CREATE TABLE "&amp;C3&amp;" ("</f>
        <v>CREATE TABLE LINE (</v>
      </c>
      <c r="K5" s="1"/>
      <c r="L5" s="1"/>
      <c r="M5" s="1"/>
      <c r="N5" s="1"/>
      <c r="O5" s="1"/>
      <c r="P5" s="1"/>
      <c r="Q5" s="1"/>
      <c r="R5" s="1"/>
      <c r="S5" s="1" t="str">
        <f>"COMMENT ON TABLE " &amp; C3 &amp; " IS '" &amp; SUBSTITUTE(B3,"'","''") &amp; "'"</f>
        <v>COMMENT ON TABLE LINE IS '공정라인'</v>
      </c>
    </row>
    <row r="6" spans="1:19" x14ac:dyDescent="0.3">
      <c r="A6" s="2" t="s">
        <v>122</v>
      </c>
      <c r="B6" s="2" t="s">
        <v>20</v>
      </c>
      <c r="C6" s="12" t="s">
        <v>653</v>
      </c>
      <c r="D6" s="2" t="s">
        <v>293</v>
      </c>
      <c r="E6" s="12" t="s">
        <v>618</v>
      </c>
      <c r="F6" s="2">
        <v>10</v>
      </c>
      <c r="G6" s="2" t="s">
        <v>90</v>
      </c>
      <c r="H6" s="12"/>
      <c r="I6" s="1"/>
      <c r="J6" s="1" t="str">
        <f t="shared" ref="J6:J12" si="0">""&amp;C6&amp;""</f>
        <v>PLANT_CODE</v>
      </c>
      <c r="K6" s="1" t="str">
        <f t="shared" ref="K6:K12" si="1">""&amp;E6&amp;""</f>
        <v>NVARCHAR2</v>
      </c>
      <c r="L6" s="1" t="str">
        <f t="shared" ref="L6:L16" si="2">IF(F6="","","(")</f>
        <v>(</v>
      </c>
      <c r="M6" s="1">
        <f t="shared" ref="M6:M16" si="3">IF(F6="","",F6)</f>
        <v>10</v>
      </c>
      <c r="N6" s="1" t="str">
        <f t="shared" ref="N6:N16" si="4">IF(F6="","",")")</f>
        <v>)</v>
      </c>
      <c r="O6" s="1" t="str">
        <f>IF(G6="N","NOT NULL","NULL")</f>
        <v>NOT NULL</v>
      </c>
      <c r="P6" s="1" t="str">
        <f>IF(H6&lt;&gt;"","DEFAULT "&amp;H6,"")</f>
        <v/>
      </c>
      <c r="Q6" s="1" t="s">
        <v>113</v>
      </c>
      <c r="S6" s="1" t="str">
        <f>"COMMENT ON COLUMN " &amp; C3 &amp; "." &amp; C6 &amp; " IS '" &amp; B6 &amp; "'"</f>
        <v>COMMENT ON COLUMN LINE.PLANT_CODE IS '고객사'</v>
      </c>
    </row>
    <row r="7" spans="1:19" x14ac:dyDescent="0.3">
      <c r="A7" s="2" t="s">
        <v>122</v>
      </c>
      <c r="B7" s="2" t="s">
        <v>245</v>
      </c>
      <c r="C7" s="2" t="s">
        <v>291</v>
      </c>
      <c r="D7" s="2" t="s">
        <v>507</v>
      </c>
      <c r="E7" s="2" t="s">
        <v>618</v>
      </c>
      <c r="F7" s="2">
        <v>10</v>
      </c>
      <c r="G7" s="2" t="s">
        <v>90</v>
      </c>
      <c r="H7" s="12"/>
      <c r="I7" s="1"/>
      <c r="J7" s="1" t="str">
        <f t="shared" si="0"/>
        <v>PROCESS_CODE</v>
      </c>
      <c r="K7" s="1" t="str">
        <f t="shared" si="1"/>
        <v>NVARCHAR2</v>
      </c>
      <c r="L7" s="1" t="str">
        <f t="shared" si="2"/>
        <v>(</v>
      </c>
      <c r="M7" s="1">
        <f t="shared" si="3"/>
        <v>10</v>
      </c>
      <c r="N7" s="1" t="str">
        <f t="shared" si="4"/>
        <v>)</v>
      </c>
      <c r="O7" s="1" t="str">
        <f t="shared" ref="O7:O16" si="5">IF(G7="N","NOT NULL","NULL")</f>
        <v>NOT NULL</v>
      </c>
      <c r="P7" s="1" t="str">
        <f t="shared" ref="P7:P16" si="6">IF(H7&lt;&gt;"","DEFAULT "&amp;H7,"")</f>
        <v/>
      </c>
      <c r="Q7" s="1" t="s">
        <v>113</v>
      </c>
      <c r="R7" s="1"/>
      <c r="S7" s="1" t="str">
        <f>"COMMENT ON COLUMN " &amp; C3 &amp; "." &amp; C7 &amp; " IS '" &amp; B7 &amp; "'"</f>
        <v>COMMENT ON COLUMN LINE.PROCESS_CODE IS '공정코드'</v>
      </c>
    </row>
    <row r="8" spans="1:19" x14ac:dyDescent="0.3">
      <c r="A8" s="2"/>
      <c r="B8" s="12" t="s">
        <v>654</v>
      </c>
      <c r="C8" s="12" t="s">
        <v>677</v>
      </c>
      <c r="D8" s="2"/>
      <c r="E8" s="2" t="s">
        <v>618</v>
      </c>
      <c r="F8" s="2">
        <v>50</v>
      </c>
      <c r="G8" s="2" t="s">
        <v>90</v>
      </c>
      <c r="H8" s="12"/>
      <c r="I8" s="1"/>
      <c r="J8" s="1" t="str">
        <f t="shared" si="0"/>
        <v>LINE_CODE</v>
      </c>
      <c r="K8" s="1" t="str">
        <f t="shared" si="1"/>
        <v>NVARCHAR2</v>
      </c>
      <c r="L8" s="1" t="str">
        <f t="shared" si="2"/>
        <v>(</v>
      </c>
      <c r="M8" s="1">
        <f t="shared" si="3"/>
        <v>50</v>
      </c>
      <c r="N8" s="1" t="str">
        <f t="shared" si="4"/>
        <v>)</v>
      </c>
      <c r="O8" s="1" t="str">
        <f t="shared" si="5"/>
        <v>NOT NULL</v>
      </c>
      <c r="P8" s="1" t="str">
        <f t="shared" si="6"/>
        <v/>
      </c>
      <c r="Q8" s="1" t="s">
        <v>113</v>
      </c>
      <c r="R8" s="1"/>
      <c r="S8" s="1" t="str">
        <f>"COMMENT ON COLUMN " &amp; C3 &amp; "." &amp; C8 &amp; " IS '" &amp; B8 &amp; "'"</f>
        <v>COMMENT ON COLUMN LINE.LINE_CODE IS '라인코드'</v>
      </c>
    </row>
    <row r="9" spans="1:19" x14ac:dyDescent="0.3">
      <c r="A9" s="2"/>
      <c r="B9" s="12" t="s">
        <v>680</v>
      </c>
      <c r="C9" s="12" t="s">
        <v>681</v>
      </c>
      <c r="D9" s="2"/>
      <c r="E9" s="2" t="s">
        <v>618</v>
      </c>
      <c r="F9" s="2">
        <v>10</v>
      </c>
      <c r="G9" s="2" t="s">
        <v>122</v>
      </c>
      <c r="H9" s="12"/>
      <c r="I9" s="1"/>
      <c r="J9" s="1" t="str">
        <f t="shared" si="0"/>
        <v>LINE_NAME</v>
      </c>
      <c r="K9" s="1" t="str">
        <f t="shared" si="1"/>
        <v>NVARCHAR2</v>
      </c>
      <c r="L9" s="1" t="str">
        <f t="shared" si="2"/>
        <v>(</v>
      </c>
      <c r="M9" s="1">
        <f t="shared" si="3"/>
        <v>10</v>
      </c>
      <c r="N9" s="1" t="str">
        <f t="shared" si="4"/>
        <v>)</v>
      </c>
      <c r="O9" s="1" t="str">
        <f t="shared" si="5"/>
        <v>NULL</v>
      </c>
      <c r="P9" s="1" t="str">
        <f t="shared" si="6"/>
        <v/>
      </c>
      <c r="Q9" s="1" t="s">
        <v>113</v>
      </c>
      <c r="R9" s="1"/>
      <c r="S9" s="1" t="str">
        <f>"COMMENT ON COLUMN " &amp; C3 &amp; "." &amp; C9 &amp; " IS '" &amp; B9 &amp; "'"</f>
        <v>COMMENT ON COLUMN LINE.LINE_NAME IS '라인명'</v>
      </c>
    </row>
    <row r="10" spans="1:19" x14ac:dyDescent="0.3">
      <c r="A10" s="2"/>
      <c r="B10" s="12" t="s">
        <v>682</v>
      </c>
      <c r="C10" s="2" t="s">
        <v>457</v>
      </c>
      <c r="D10" s="2"/>
      <c r="E10" s="2" t="s">
        <v>618</v>
      </c>
      <c r="F10" s="2" t="s">
        <v>109</v>
      </c>
      <c r="G10" s="2" t="s">
        <v>122</v>
      </c>
      <c r="H10" s="12"/>
      <c r="I10" s="1"/>
      <c r="J10" s="1" t="str">
        <f t="shared" si="0"/>
        <v>EQUIP_CODE</v>
      </c>
      <c r="K10" s="1" t="str">
        <f t="shared" si="1"/>
        <v>NVARCHAR2</v>
      </c>
      <c r="L10" s="1" t="str">
        <f t="shared" si="2"/>
        <v>(</v>
      </c>
      <c r="M10" s="1" t="str">
        <f t="shared" si="3"/>
        <v>MAX</v>
      </c>
      <c r="N10" s="1" t="str">
        <f t="shared" si="4"/>
        <v>)</v>
      </c>
      <c r="O10" s="1" t="str">
        <f t="shared" si="5"/>
        <v>NULL</v>
      </c>
      <c r="P10" s="1" t="str">
        <f t="shared" si="6"/>
        <v/>
      </c>
      <c r="Q10" s="1" t="s">
        <v>113</v>
      </c>
      <c r="R10" s="1"/>
      <c r="S10" s="1" t="str">
        <f>"COMMENT ON COLUMN " &amp; C3 &amp; "." &amp; C10 &amp; " IS '" &amp; B10 &amp; "'"</f>
        <v>COMMENT ON COLUMN LINE.EQUIP_CODE IS '대표설비코드'</v>
      </c>
    </row>
    <row r="11" spans="1:19" x14ac:dyDescent="0.3">
      <c r="A11" s="2"/>
      <c r="B11" s="2" t="s">
        <v>21</v>
      </c>
      <c r="C11" s="2" t="s">
        <v>95</v>
      </c>
      <c r="D11" s="2" t="s">
        <v>21</v>
      </c>
      <c r="E11" s="2" t="s">
        <v>545</v>
      </c>
      <c r="F11" s="2"/>
      <c r="G11" s="2" t="s">
        <v>90</v>
      </c>
      <c r="H11" s="12"/>
      <c r="I11" s="1"/>
      <c r="J11" s="1" t="str">
        <f t="shared" si="0"/>
        <v>SEQ</v>
      </c>
      <c r="K11" s="1" t="str">
        <f t="shared" si="1"/>
        <v>NUMBER</v>
      </c>
      <c r="L11" s="1" t="str">
        <f t="shared" si="2"/>
        <v/>
      </c>
      <c r="M11" s="1" t="str">
        <f t="shared" si="3"/>
        <v/>
      </c>
      <c r="N11" s="1" t="str">
        <f t="shared" si="4"/>
        <v/>
      </c>
      <c r="O11" s="1" t="str">
        <f t="shared" si="5"/>
        <v>NOT NULL</v>
      </c>
      <c r="P11" s="1" t="str">
        <f t="shared" si="6"/>
        <v/>
      </c>
      <c r="Q11" s="1" t="s">
        <v>113</v>
      </c>
      <c r="R11" s="1"/>
      <c r="S11" s="1" t="str">
        <f>"COMMENT ON COLUMN " &amp; C3 &amp; "." &amp; C11 &amp; " IS '" &amp; B11 &amp; "'"</f>
        <v>COMMENT ON COLUMN LINE.SEQ IS '순서'</v>
      </c>
    </row>
    <row r="12" spans="1:19" x14ac:dyDescent="0.3">
      <c r="A12" s="2"/>
      <c r="B12" s="2" t="s">
        <v>210</v>
      </c>
      <c r="C12" s="2" t="s">
        <v>219</v>
      </c>
      <c r="D12" s="2" t="s">
        <v>210</v>
      </c>
      <c r="E12" s="2" t="s">
        <v>249</v>
      </c>
      <c r="F12" s="2">
        <v>1</v>
      </c>
      <c r="G12" s="2" t="s">
        <v>90</v>
      </c>
      <c r="H12" s="12"/>
      <c r="I12" s="1"/>
      <c r="J12" s="1" t="str">
        <f t="shared" si="0"/>
        <v>USEYN</v>
      </c>
      <c r="K12" s="1" t="str">
        <f t="shared" si="1"/>
        <v>CHAR</v>
      </c>
      <c r="L12" s="1" t="str">
        <f t="shared" si="2"/>
        <v>(</v>
      </c>
      <c r="M12" s="1">
        <f t="shared" si="3"/>
        <v>1</v>
      </c>
      <c r="N12" s="1" t="str">
        <f t="shared" si="4"/>
        <v>)</v>
      </c>
      <c r="O12" s="1" t="str">
        <f t="shared" si="5"/>
        <v>NOT NULL</v>
      </c>
      <c r="P12" s="1" t="str">
        <f t="shared" si="6"/>
        <v/>
      </c>
      <c r="Q12" s="1" t="s">
        <v>113</v>
      </c>
      <c r="R12" s="1"/>
      <c r="S12" s="1" t="str">
        <f>"COMMENT ON COLUMN " &amp; C3 &amp; "." &amp; C12 &amp; " IS '" &amp; B12 &amp; "'"</f>
        <v>COMMENT ON COLUMN LINE.USEYN IS '사용여부'</v>
      </c>
    </row>
    <row r="13" spans="1:19" x14ac:dyDescent="0.3">
      <c r="A13" s="2"/>
      <c r="B13" s="2" t="s">
        <v>111</v>
      </c>
      <c r="C13" s="2" t="s">
        <v>790</v>
      </c>
      <c r="D13" s="2" t="s">
        <v>188</v>
      </c>
      <c r="E13" s="2" t="s">
        <v>618</v>
      </c>
      <c r="F13" s="2">
        <v>20</v>
      </c>
      <c r="G13" s="2" t="s">
        <v>90</v>
      </c>
      <c r="H13" s="15"/>
      <c r="I13" s="1"/>
      <c r="J13" s="1" t="str">
        <f>""&amp;C13&amp;""</f>
        <v>INITBY</v>
      </c>
      <c r="K13" s="1" t="str">
        <f>""&amp;E13&amp;""</f>
        <v>NVARCHAR2</v>
      </c>
      <c r="L13" s="1" t="str">
        <f t="shared" si="2"/>
        <v>(</v>
      </c>
      <c r="M13" s="1">
        <f t="shared" si="3"/>
        <v>20</v>
      </c>
      <c r="N13" s="1" t="str">
        <f t="shared" si="4"/>
        <v>)</v>
      </c>
      <c r="O13" s="1" t="str">
        <f t="shared" si="5"/>
        <v>NOT NULL</v>
      </c>
      <c r="P13" s="1" t="str">
        <f t="shared" si="6"/>
        <v/>
      </c>
      <c r="Q13" s="1" t="s">
        <v>113</v>
      </c>
      <c r="R13" s="1"/>
      <c r="S13" s="1" t="str">
        <f>"COMMENT ON COLUMN " &amp; C3 &amp; "." &amp; C13 &amp; " IS '" &amp; B13 &amp; "'"</f>
        <v>COMMENT ON COLUMN LINE.INITBY IS '입력자'</v>
      </c>
    </row>
    <row r="14" spans="1:19" x14ac:dyDescent="0.3">
      <c r="A14" s="2"/>
      <c r="B14" s="2" t="s">
        <v>254</v>
      </c>
      <c r="C14" s="2" t="s">
        <v>791</v>
      </c>
      <c r="D14" s="2" t="s">
        <v>254</v>
      </c>
      <c r="E14" s="2" t="s">
        <v>228</v>
      </c>
      <c r="F14" s="2"/>
      <c r="G14" s="2" t="s">
        <v>90</v>
      </c>
      <c r="H14" s="12" t="s">
        <v>570</v>
      </c>
      <c r="I14" s="1"/>
      <c r="J14" s="1" t="str">
        <f>""&amp;C14&amp;""</f>
        <v>INITDTTM</v>
      </c>
      <c r="K14" s="1" t="str">
        <f>""&amp;E14&amp;""</f>
        <v>DATE</v>
      </c>
      <c r="L14" s="1" t="str">
        <f t="shared" si="2"/>
        <v/>
      </c>
      <c r="M14" s="1" t="str">
        <f t="shared" si="3"/>
        <v/>
      </c>
      <c r="N14" s="1" t="str">
        <f t="shared" si="4"/>
        <v/>
      </c>
      <c r="O14" s="1" t="str">
        <f t="shared" si="5"/>
        <v>NOT NULL</v>
      </c>
      <c r="P14" s="1" t="str">
        <f t="shared" si="6"/>
        <v>DEFAULT SYSDATE</v>
      </c>
      <c r="Q14" s="1" t="s">
        <v>113</v>
      </c>
      <c r="R14" s="1"/>
      <c r="S14" s="1" t="str">
        <f>"COMMENT ON COLUMN " &amp; C3 &amp; "." &amp; C14 &amp; " IS '" &amp; B14 &amp; "'"</f>
        <v>COMMENT ON COLUMN LINE.INITDTTM IS '입력일시'</v>
      </c>
    </row>
    <row r="15" spans="1:19" x14ac:dyDescent="0.3">
      <c r="A15" s="2"/>
      <c r="B15" s="2" t="s">
        <v>99</v>
      </c>
      <c r="C15" s="2" t="s">
        <v>793</v>
      </c>
      <c r="D15" s="2" t="s">
        <v>197</v>
      </c>
      <c r="E15" s="2" t="s">
        <v>618</v>
      </c>
      <c r="F15" s="2">
        <v>20</v>
      </c>
      <c r="G15" s="2" t="s">
        <v>122</v>
      </c>
      <c r="H15" s="15"/>
      <c r="I15" s="1"/>
      <c r="J15" s="1" t="str">
        <f>""&amp;C15&amp;""</f>
        <v>UPBY</v>
      </c>
      <c r="K15" s="1" t="str">
        <f>""&amp;E15&amp;""</f>
        <v>NVARCHAR2</v>
      </c>
      <c r="L15" s="1" t="str">
        <f t="shared" si="2"/>
        <v>(</v>
      </c>
      <c r="M15" s="1">
        <f t="shared" si="3"/>
        <v>20</v>
      </c>
      <c r="N15" s="1" t="str">
        <f t="shared" si="4"/>
        <v>)</v>
      </c>
      <c r="O15" s="1" t="str">
        <f t="shared" si="5"/>
        <v>NULL</v>
      </c>
      <c r="P15" s="1" t="str">
        <f t="shared" si="6"/>
        <v/>
      </c>
      <c r="Q15" s="1" t="s">
        <v>113</v>
      </c>
      <c r="R15" s="1"/>
      <c r="S15" s="1" t="str">
        <f>"COMMENT ON COLUMN " &amp; C3 &amp; "." &amp; C15 &amp; " IS '" &amp; B15 &amp; "'"</f>
        <v>COMMENT ON COLUMN LINE.UPBY IS '수정자'</v>
      </c>
    </row>
    <row r="16" spans="1:19" x14ac:dyDescent="0.3">
      <c r="A16" s="2"/>
      <c r="B16" s="2" t="s">
        <v>259</v>
      </c>
      <c r="C16" s="2" t="s">
        <v>792</v>
      </c>
      <c r="D16" s="2" t="s">
        <v>259</v>
      </c>
      <c r="E16" s="2" t="s">
        <v>228</v>
      </c>
      <c r="F16" s="2"/>
      <c r="G16" s="2" t="s">
        <v>122</v>
      </c>
      <c r="H16" s="12"/>
      <c r="I16" s="1"/>
      <c r="J16" s="1" t="str">
        <f>""&amp;C16&amp;""</f>
        <v>UPDTTM</v>
      </c>
      <c r="K16" s="1" t="str">
        <f>""&amp;E16&amp;""</f>
        <v>DATE</v>
      </c>
      <c r="L16" s="1" t="str">
        <f t="shared" si="2"/>
        <v/>
      </c>
      <c r="M16" s="1" t="str">
        <f t="shared" si="3"/>
        <v/>
      </c>
      <c r="N16" s="1" t="str">
        <f t="shared" si="4"/>
        <v/>
      </c>
      <c r="O16" s="1" t="str">
        <f t="shared" si="5"/>
        <v>NULL</v>
      </c>
      <c r="P16" s="1" t="str">
        <f t="shared" si="6"/>
        <v/>
      </c>
      <c r="Q16" s="21" t="s">
        <v>723</v>
      </c>
      <c r="R16" s="1"/>
      <c r="S16" s="1" t="str">
        <f>"COMMENT ON COLUMN " &amp; C3 &amp; "." &amp; C16 &amp; " IS '" &amp; B16 &amp; "'"</f>
        <v>COMMENT ON COLUMN LINE.UPDTTM IS '수정일시'</v>
      </c>
    </row>
    <row r="17" spans="10:10" x14ac:dyDescent="0.3">
      <c r="J17" s="13" t="str">
        <f>"ALTER TABLE "&amp;C3&amp;""</f>
        <v>ALTER TABLE LINE</v>
      </c>
    </row>
    <row r="18" spans="10:10" x14ac:dyDescent="0.3">
      <c r="J18" s="13" t="str" cm="1">
        <f t="array" ref="J18">"ADD CONSTRAINT PK_"&amp;C3&amp;"
PRIMARY KEY (" &amp; _xlfn.TEXTJOIN(", ", TRUE, _xlfn._xlws.FILTER(C6:C61, A6:A61="Y")) &amp; ")"</f>
        <v>ADD CONSTRAINT PK_LINE
PRIMARY KEY (PLANT_CODE, PROCESS_CODE)</v>
      </c>
    </row>
  </sheetData>
  <phoneticPr fontId="7" type="noConversion"/>
  <hyperlinks>
    <hyperlink ref="A1" location="리스트!A1" display="리스트로 이동" xr:uid="{9838DD0B-F6FB-40C9-850A-947C8227F93F}"/>
  </hyperlinks>
  <pageMargins left="0.74805557727813721" right="0.74805557727813721" top="0.98430556058883667" bottom="0.98430556058883667" header="0.51166665554046631" footer="0.51166665554046631"/>
  <pageSetup paperSize="9" fitToWidth="0" fitToHeight="0" orientation="portrait" horizontalDpi="0" verticalDpi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AC1CE-7AE1-405E-BA73-AC5BA61AAA90}">
  <dimension ref="A1:S19"/>
  <sheetViews>
    <sheetView zoomScaleNormal="100" zoomScaleSheetLayoutView="100" workbookViewId="0">
      <selection activeCell="J3" sqref="J3:Q3"/>
    </sheetView>
  </sheetViews>
  <sheetFormatPr defaultColWidth="9" defaultRowHeight="16.5" x14ac:dyDescent="0.3"/>
  <cols>
    <col min="1" max="1" width="8.625" bestFit="1" customWidth="1"/>
    <col min="2" max="2" width="13.75" bestFit="1" customWidth="1"/>
    <col min="3" max="3" width="14.125" bestFit="1" customWidth="1"/>
    <col min="4" max="4" width="19.375" bestFit="1" customWidth="1"/>
    <col min="5" max="5" width="12.75" bestFit="1" customWidth="1"/>
    <col min="6" max="6" width="6.75" bestFit="1" customWidth="1"/>
    <col min="7" max="7" width="9" bestFit="1" customWidth="1"/>
    <col min="8" max="8" width="9" customWidth="1"/>
    <col min="10" max="11" width="16.875" customWidth="1"/>
    <col min="12" max="12" width="1.625" bestFit="1" customWidth="1"/>
    <col min="13" max="13" width="3.75" customWidth="1"/>
    <col min="14" max="14" width="1.625" bestFit="1" customWidth="1"/>
    <col min="15" max="15" width="10.125" bestFit="1" customWidth="1"/>
    <col min="16" max="16" width="18.375" bestFit="1" customWidth="1"/>
    <col min="17" max="17" width="10.125" bestFit="1" customWidth="1"/>
    <col min="18" max="18" width="16.875" customWidth="1"/>
  </cols>
  <sheetData>
    <row r="1" spans="1:19" x14ac:dyDescent="0.3">
      <c r="A1" s="16" t="s">
        <v>615</v>
      </c>
    </row>
    <row r="2" spans="1:19" x14ac:dyDescent="0.3">
      <c r="A2" s="2"/>
      <c r="B2" s="2" t="s">
        <v>116</v>
      </c>
      <c r="C2" s="2" t="s">
        <v>119</v>
      </c>
      <c r="D2" s="2" t="s">
        <v>112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3">
      <c r="A3" s="2"/>
      <c r="B3" s="12" t="s">
        <v>547</v>
      </c>
      <c r="C3" s="12" t="s">
        <v>548</v>
      </c>
      <c r="D3" s="2"/>
      <c r="E3" s="1"/>
      <c r="F3" s="1"/>
      <c r="G3" s="1"/>
      <c r="H3" s="1"/>
      <c r="I3" s="1"/>
      <c r="J3" s="13" t="str">
        <f>"DROP TABLE "&amp;C3&amp;" CASCADE CONSTRAINTS PURGE"</f>
        <v>DROP TABLE LOCATION CASCADE CONSTRAINTS PURGE</v>
      </c>
      <c r="K3" s="1"/>
      <c r="L3" s="1"/>
      <c r="M3" s="1"/>
      <c r="N3" s="1"/>
      <c r="O3" s="1"/>
      <c r="P3" s="21"/>
      <c r="Q3" s="21" t="s">
        <v>771</v>
      </c>
      <c r="R3" s="1"/>
      <c r="S3" s="1"/>
    </row>
    <row r="4" spans="1:19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3">
      <c r="A5" s="2" t="s">
        <v>88</v>
      </c>
      <c r="B5" s="2" t="s">
        <v>215</v>
      </c>
      <c r="C5" s="2" t="s">
        <v>252</v>
      </c>
      <c r="D5" s="2" t="s">
        <v>169</v>
      </c>
      <c r="E5" s="2" t="s">
        <v>265</v>
      </c>
      <c r="F5" s="2" t="s">
        <v>101</v>
      </c>
      <c r="G5" s="2" t="s">
        <v>205</v>
      </c>
      <c r="H5" s="12" t="s">
        <v>569</v>
      </c>
      <c r="I5" s="1"/>
      <c r="J5" s="1" t="str">
        <f>"CREATE TABLE "&amp;C3&amp;" ("</f>
        <v>CREATE TABLE LOCATION (</v>
      </c>
      <c r="K5" s="1"/>
      <c r="L5" s="1"/>
      <c r="M5" s="1"/>
      <c r="N5" s="1"/>
      <c r="O5" s="1"/>
      <c r="P5" s="1"/>
      <c r="Q5" s="1"/>
      <c r="R5" s="1"/>
      <c r="S5" s="1" t="str">
        <f>"COMMENT ON TABLE " &amp; C3 &amp; " IS '" &amp; SUBSTITUTE(B3,"'","''") &amp; "'"</f>
        <v>COMMENT ON TABLE LOCATION IS '저장소'</v>
      </c>
    </row>
    <row r="6" spans="1:19" x14ac:dyDescent="0.3">
      <c r="A6" s="12" t="s">
        <v>565</v>
      </c>
      <c r="B6" s="12" t="s">
        <v>556</v>
      </c>
      <c r="C6" s="2" t="s">
        <v>528</v>
      </c>
      <c r="D6" s="2"/>
      <c r="E6" s="12" t="s">
        <v>618</v>
      </c>
      <c r="F6" s="2">
        <v>20</v>
      </c>
      <c r="G6" s="12" t="s">
        <v>564</v>
      </c>
      <c r="H6" s="12"/>
      <c r="I6" s="1"/>
      <c r="J6" s="1" t="str">
        <f>""&amp;C6&amp;""</f>
        <v>PLANT_CODE</v>
      </c>
      <c r="K6" s="1" t="str">
        <f>""&amp;E6&amp;""</f>
        <v>NVARCHAR2</v>
      </c>
      <c r="L6" s="1" t="str">
        <f>IF(F6="","","(")</f>
        <v>(</v>
      </c>
      <c r="M6" s="1">
        <f>IF(F6="","",F6)</f>
        <v>20</v>
      </c>
      <c r="N6" s="1" t="str">
        <f>IF(F6="","",")")</f>
        <v>)</v>
      </c>
      <c r="O6" s="1" t="str">
        <f>IF(G6="N","NOT NULL","NULL")</f>
        <v>NOT NULL</v>
      </c>
      <c r="P6" s="1" t="str">
        <f>IF(H6&lt;&gt;"","DEFAULT "&amp;H6,"")</f>
        <v/>
      </c>
      <c r="Q6" s="1" t="s">
        <v>113</v>
      </c>
      <c r="S6" s="1" t="str">
        <f>"COMMENT ON COLUMN " &amp; C3 &amp; "." &amp; C6 &amp; " IS '" &amp; B6 &amp; "'"</f>
        <v>COMMENT ON COLUMN LOCATION.PLANT_CODE IS '플랜트코드'</v>
      </c>
    </row>
    <row r="7" spans="1:19" x14ac:dyDescent="0.3">
      <c r="A7" s="12" t="s">
        <v>565</v>
      </c>
      <c r="B7" s="12" t="s">
        <v>557</v>
      </c>
      <c r="C7" s="13" t="s">
        <v>549</v>
      </c>
      <c r="D7" s="2"/>
      <c r="E7" s="12" t="s">
        <v>618</v>
      </c>
      <c r="F7" s="2">
        <v>20</v>
      </c>
      <c r="G7" s="12" t="s">
        <v>564</v>
      </c>
      <c r="H7" s="12"/>
      <c r="I7" s="1"/>
      <c r="J7" s="1" t="str">
        <f t="shared" ref="J7:J17" si="0">""&amp;C7&amp;""</f>
        <v>LOCATION_CODE</v>
      </c>
      <c r="K7" s="1" t="str">
        <f t="shared" ref="K7:K17" si="1">""&amp;E7&amp;""</f>
        <v>NVARCHAR2</v>
      </c>
      <c r="L7" s="1" t="str">
        <f t="shared" ref="L7:L17" si="2">IF(F7="","","(")</f>
        <v>(</v>
      </c>
      <c r="M7" s="1">
        <f t="shared" ref="M7:M17" si="3">IF(F7="","",F7)</f>
        <v>20</v>
      </c>
      <c r="N7" s="1" t="str">
        <f t="shared" ref="N7:N17" si="4">IF(F7="","",")")</f>
        <v>)</v>
      </c>
      <c r="O7" s="1" t="str">
        <f t="shared" ref="O7:O17" si="5">IF(G7="N","NOT NULL","NULL")</f>
        <v>NOT NULL</v>
      </c>
      <c r="P7" s="1" t="str">
        <f t="shared" ref="P7:P17" si="6">IF(H7&lt;&gt;"","DEFAULT "&amp;H7,"")</f>
        <v/>
      </c>
      <c r="Q7" s="1" t="s">
        <v>113</v>
      </c>
      <c r="R7" s="1"/>
      <c r="S7" s="1" t="str">
        <f>"COMMENT ON COLUMN " &amp; C3 &amp; "." &amp; C7 &amp; " IS '" &amp; B7 &amp; "'"</f>
        <v>COMMENT ON COLUMN LOCATION.LOCATION_CODE IS '저장소코드'</v>
      </c>
    </row>
    <row r="8" spans="1:19" x14ac:dyDescent="0.3">
      <c r="A8" s="2"/>
      <c r="B8" s="12" t="s">
        <v>558</v>
      </c>
      <c r="C8" s="13" t="s">
        <v>550</v>
      </c>
      <c r="D8" s="2"/>
      <c r="E8" s="12" t="s">
        <v>618</v>
      </c>
      <c r="F8" s="2">
        <v>100</v>
      </c>
      <c r="G8" s="12" t="s">
        <v>564</v>
      </c>
      <c r="H8" s="12"/>
      <c r="I8" s="1"/>
      <c r="J8" s="1" t="str">
        <f t="shared" si="0"/>
        <v>LOCATION_NAME</v>
      </c>
      <c r="K8" s="1" t="str">
        <f t="shared" si="1"/>
        <v>NVARCHAR2</v>
      </c>
      <c r="L8" s="1" t="str">
        <f t="shared" si="2"/>
        <v>(</v>
      </c>
      <c r="M8" s="1">
        <f t="shared" si="3"/>
        <v>100</v>
      </c>
      <c r="N8" s="1" t="str">
        <f t="shared" si="4"/>
        <v>)</v>
      </c>
      <c r="O8" s="1" t="str">
        <f t="shared" si="5"/>
        <v>NOT NULL</v>
      </c>
      <c r="P8" s="1" t="str">
        <f t="shared" si="6"/>
        <v/>
      </c>
      <c r="Q8" s="1" t="s">
        <v>113</v>
      </c>
      <c r="R8" s="1"/>
      <c r="S8" s="1" t="str">
        <f>"COMMENT ON COLUMN " &amp; C3 &amp; "." &amp; C8 &amp; " IS '" &amp; B8 &amp; "'"</f>
        <v>COMMENT ON COLUMN LOCATION.LOCATION_NAME IS '저장소명'</v>
      </c>
    </row>
    <row r="9" spans="1:19" x14ac:dyDescent="0.3">
      <c r="A9" s="2"/>
      <c r="B9" s="12" t="s">
        <v>559</v>
      </c>
      <c r="C9" s="12" t="s">
        <v>551</v>
      </c>
      <c r="D9" s="2"/>
      <c r="E9" s="12" t="s">
        <v>618</v>
      </c>
      <c r="F9" s="2">
        <v>20</v>
      </c>
      <c r="G9" s="2"/>
      <c r="H9" s="12"/>
      <c r="I9" s="1"/>
      <c r="J9" s="1" t="str">
        <f t="shared" si="0"/>
        <v>PARENT_CODE</v>
      </c>
      <c r="K9" s="1" t="str">
        <f t="shared" si="1"/>
        <v>NVARCHAR2</v>
      </c>
      <c r="L9" s="1" t="str">
        <f t="shared" si="2"/>
        <v>(</v>
      </c>
      <c r="M9" s="1">
        <f t="shared" si="3"/>
        <v>20</v>
      </c>
      <c r="N9" s="1" t="str">
        <f t="shared" si="4"/>
        <v>)</v>
      </c>
      <c r="O9" s="1" t="str">
        <f t="shared" si="5"/>
        <v>NULL</v>
      </c>
      <c r="P9" s="1" t="str">
        <f t="shared" si="6"/>
        <v/>
      </c>
      <c r="Q9" s="1" t="s">
        <v>113</v>
      </c>
      <c r="R9" s="1"/>
      <c r="S9" s="1" t="str">
        <f>"COMMENT ON COLUMN " &amp; C3 &amp; "." &amp; C9 &amp; " IS '" &amp; B9 &amp; "'"</f>
        <v>COMMENT ON COLUMN LOCATION.PARENT_CODE IS '저장소위치코드'</v>
      </c>
    </row>
    <row r="10" spans="1:19" x14ac:dyDescent="0.3">
      <c r="A10" s="2"/>
      <c r="B10" s="12" t="s">
        <v>560</v>
      </c>
      <c r="C10" s="12" t="s">
        <v>552</v>
      </c>
      <c r="D10" s="2"/>
      <c r="E10" s="12" t="s">
        <v>618</v>
      </c>
      <c r="F10" s="2">
        <v>100</v>
      </c>
      <c r="G10" s="2"/>
      <c r="H10" s="12"/>
      <c r="I10" s="1"/>
      <c r="J10" s="1" t="str">
        <f t="shared" si="0"/>
        <v>PARENT_NAME</v>
      </c>
      <c r="K10" s="1" t="str">
        <f t="shared" si="1"/>
        <v>NVARCHAR2</v>
      </c>
      <c r="L10" s="1" t="str">
        <f t="shared" si="2"/>
        <v>(</v>
      </c>
      <c r="M10" s="1">
        <f t="shared" si="3"/>
        <v>100</v>
      </c>
      <c r="N10" s="1" t="str">
        <f t="shared" si="4"/>
        <v>)</v>
      </c>
      <c r="O10" s="1" t="str">
        <f t="shared" si="5"/>
        <v>NULL</v>
      </c>
      <c r="P10" s="1" t="str">
        <f t="shared" si="6"/>
        <v/>
      </c>
      <c r="Q10" s="1" t="s">
        <v>113</v>
      </c>
      <c r="R10" s="1"/>
      <c r="S10" s="1" t="str">
        <f>"COMMENT ON COLUMN " &amp; C3 &amp; "." &amp; C10 &amp; " IS '" &amp; B10 &amp; "'"</f>
        <v>COMMENT ON COLUMN LOCATION.PARENT_NAME IS '저장소위치명'</v>
      </c>
    </row>
    <row r="11" spans="1:19" x14ac:dyDescent="0.3">
      <c r="A11" s="2"/>
      <c r="B11" s="12" t="s">
        <v>561</v>
      </c>
      <c r="C11" s="12" t="s">
        <v>553</v>
      </c>
      <c r="D11" s="2"/>
      <c r="E11" s="12" t="s">
        <v>618</v>
      </c>
      <c r="F11" s="2">
        <v>20</v>
      </c>
      <c r="G11" s="2"/>
      <c r="H11" s="12"/>
      <c r="I11" s="1"/>
      <c r="J11" s="1" t="str">
        <f t="shared" si="0"/>
        <v>LOCATION_TYPE</v>
      </c>
      <c r="K11" s="1" t="str">
        <f t="shared" si="1"/>
        <v>NVARCHAR2</v>
      </c>
      <c r="L11" s="1" t="str">
        <f t="shared" si="2"/>
        <v>(</v>
      </c>
      <c r="M11" s="1">
        <f t="shared" si="3"/>
        <v>20</v>
      </c>
      <c r="N11" s="1" t="str">
        <f t="shared" si="4"/>
        <v>)</v>
      </c>
      <c r="O11" s="1" t="str">
        <f t="shared" si="5"/>
        <v>NULL</v>
      </c>
      <c r="P11" s="1" t="str">
        <f t="shared" si="6"/>
        <v/>
      </c>
      <c r="Q11" s="1" t="s">
        <v>113</v>
      </c>
      <c r="R11" s="1"/>
      <c r="S11" s="1" t="str">
        <f>"COMMENT ON COLUMN " &amp; C3 &amp; "." &amp; C11 &amp; " IS '" &amp; B11 &amp; "'"</f>
        <v>COMMENT ON COLUMN LOCATION.LOCATION_TYPE IS '저장소타입'</v>
      </c>
    </row>
    <row r="12" spans="1:19" x14ac:dyDescent="0.3">
      <c r="A12" s="2"/>
      <c r="B12" s="12" t="s">
        <v>562</v>
      </c>
      <c r="C12" s="12" t="s">
        <v>554</v>
      </c>
      <c r="D12" s="2"/>
      <c r="E12" s="12" t="s">
        <v>618</v>
      </c>
      <c r="F12" s="2">
        <v>20</v>
      </c>
      <c r="G12" s="2"/>
      <c r="H12" s="12"/>
      <c r="I12" s="1"/>
      <c r="J12" s="1" t="str">
        <f t="shared" si="0"/>
        <v>SPEC_TYPE</v>
      </c>
      <c r="K12" s="1" t="str">
        <f t="shared" si="1"/>
        <v>NVARCHAR2</v>
      </c>
      <c r="L12" s="1" t="str">
        <f t="shared" si="2"/>
        <v>(</v>
      </c>
      <c r="M12" s="1">
        <f t="shared" si="3"/>
        <v>20</v>
      </c>
      <c r="N12" s="1" t="str">
        <f t="shared" si="4"/>
        <v>)</v>
      </c>
      <c r="O12" s="1" t="str">
        <f t="shared" si="5"/>
        <v>NULL</v>
      </c>
      <c r="P12" s="1" t="str">
        <f t="shared" si="6"/>
        <v/>
      </c>
      <c r="Q12" s="1" t="s">
        <v>113</v>
      </c>
      <c r="R12" s="1"/>
      <c r="S12" s="1" t="str">
        <f>"COMMENT ON COLUMN " &amp; C3 &amp; "." &amp; C12 &amp; " IS '" &amp; B12 &amp; "'"</f>
        <v>COMMENT ON COLUMN LOCATION.SPEC_TYPE IS '저장위치구분'</v>
      </c>
    </row>
    <row r="13" spans="1:19" x14ac:dyDescent="0.3">
      <c r="A13" s="2"/>
      <c r="B13" s="12" t="s">
        <v>534</v>
      </c>
      <c r="C13" s="12" t="s">
        <v>555</v>
      </c>
      <c r="D13" s="2"/>
      <c r="E13" s="12" t="s">
        <v>563</v>
      </c>
      <c r="F13" s="2">
        <v>1</v>
      </c>
      <c r="G13" s="12" t="s">
        <v>564</v>
      </c>
      <c r="H13" s="12"/>
      <c r="I13" s="1"/>
      <c r="J13" s="1" t="str">
        <f t="shared" si="0"/>
        <v>USE_FLAG</v>
      </c>
      <c r="K13" s="1" t="str">
        <f t="shared" si="1"/>
        <v>CHAR</v>
      </c>
      <c r="L13" s="1" t="str">
        <f t="shared" si="2"/>
        <v>(</v>
      </c>
      <c r="M13" s="1">
        <f t="shared" si="3"/>
        <v>1</v>
      </c>
      <c r="N13" s="1" t="str">
        <f t="shared" si="4"/>
        <v>)</v>
      </c>
      <c r="O13" s="1" t="str">
        <f t="shared" si="5"/>
        <v>NOT NULL</v>
      </c>
      <c r="P13" s="1" t="str">
        <f t="shared" si="6"/>
        <v/>
      </c>
      <c r="Q13" s="1" t="s">
        <v>113</v>
      </c>
      <c r="R13" s="1"/>
      <c r="S13" s="1" t="str">
        <f>"COMMENT ON COLUMN " &amp; C3 &amp; "." &amp; C13 &amp; " IS '" &amp; B13 &amp; "'"</f>
        <v>COMMENT ON COLUMN LOCATION.USE_FLAG IS '사용여부'</v>
      </c>
    </row>
    <row r="14" spans="1:19" x14ac:dyDescent="0.3">
      <c r="A14" s="2"/>
      <c r="B14" s="2" t="s">
        <v>111</v>
      </c>
      <c r="C14" s="2" t="s">
        <v>790</v>
      </c>
      <c r="D14" s="2" t="s">
        <v>188</v>
      </c>
      <c r="E14" s="2" t="s">
        <v>618</v>
      </c>
      <c r="F14" s="2">
        <v>20</v>
      </c>
      <c r="G14" s="2" t="s">
        <v>90</v>
      </c>
      <c r="H14" s="15"/>
      <c r="I14" s="1"/>
      <c r="J14" s="1" t="str">
        <f t="shared" si="0"/>
        <v>INITBY</v>
      </c>
      <c r="K14" s="1" t="str">
        <f t="shared" si="1"/>
        <v>NVARCHAR2</v>
      </c>
      <c r="L14" s="1" t="str">
        <f t="shared" si="2"/>
        <v>(</v>
      </c>
      <c r="M14" s="1">
        <f t="shared" si="3"/>
        <v>20</v>
      </c>
      <c r="N14" s="1" t="str">
        <f t="shared" si="4"/>
        <v>)</v>
      </c>
      <c r="O14" s="1" t="str">
        <f t="shared" si="5"/>
        <v>NOT NULL</v>
      </c>
      <c r="P14" s="1" t="str">
        <f t="shared" si="6"/>
        <v/>
      </c>
      <c r="Q14" s="1" t="s">
        <v>113</v>
      </c>
      <c r="R14" s="1"/>
      <c r="S14" s="1" t="str">
        <f>"COMMENT ON COLUMN " &amp; C3 &amp; "." &amp; C14 &amp; " IS '" &amp; B14 &amp; "'"</f>
        <v>COMMENT ON COLUMN LOCATION.INITBY IS '입력자'</v>
      </c>
    </row>
    <row r="15" spans="1:19" x14ac:dyDescent="0.3">
      <c r="A15" s="2"/>
      <c r="B15" s="2" t="s">
        <v>254</v>
      </c>
      <c r="C15" s="2" t="s">
        <v>791</v>
      </c>
      <c r="D15" s="2" t="s">
        <v>254</v>
      </c>
      <c r="E15" s="2" t="s">
        <v>228</v>
      </c>
      <c r="F15" s="2"/>
      <c r="G15" s="2" t="s">
        <v>90</v>
      </c>
      <c r="H15" s="12" t="s">
        <v>570</v>
      </c>
      <c r="I15" s="1"/>
      <c r="J15" s="1" t="str">
        <f t="shared" si="0"/>
        <v>INITDTTM</v>
      </c>
      <c r="K15" s="1" t="str">
        <f t="shared" si="1"/>
        <v>DATE</v>
      </c>
      <c r="L15" s="1" t="str">
        <f t="shared" si="2"/>
        <v/>
      </c>
      <c r="M15" s="1" t="str">
        <f t="shared" si="3"/>
        <v/>
      </c>
      <c r="N15" s="1" t="str">
        <f t="shared" si="4"/>
        <v/>
      </c>
      <c r="O15" s="1" t="str">
        <f t="shared" si="5"/>
        <v>NOT NULL</v>
      </c>
      <c r="P15" s="1" t="str">
        <f t="shared" si="6"/>
        <v>DEFAULT SYSDATE</v>
      </c>
      <c r="Q15" s="1" t="s">
        <v>113</v>
      </c>
      <c r="R15" s="1"/>
      <c r="S15" s="1" t="str">
        <f>"COMMENT ON COLUMN " &amp; C3 &amp; "." &amp; C15 &amp; " IS '" &amp; B15 &amp; "'"</f>
        <v>COMMENT ON COLUMN LOCATION.INITDTTM IS '입력일시'</v>
      </c>
    </row>
    <row r="16" spans="1:19" x14ac:dyDescent="0.3">
      <c r="A16" s="2"/>
      <c r="B16" s="2" t="s">
        <v>99</v>
      </c>
      <c r="C16" s="2" t="s">
        <v>793</v>
      </c>
      <c r="D16" s="2" t="s">
        <v>197</v>
      </c>
      <c r="E16" s="2" t="s">
        <v>618</v>
      </c>
      <c r="F16" s="2">
        <v>20</v>
      </c>
      <c r="G16" s="2" t="s">
        <v>122</v>
      </c>
      <c r="H16" s="15"/>
      <c r="I16" s="1"/>
      <c r="J16" s="1" t="str">
        <f t="shared" si="0"/>
        <v>UPBY</v>
      </c>
      <c r="K16" s="1" t="str">
        <f t="shared" si="1"/>
        <v>NVARCHAR2</v>
      </c>
      <c r="L16" s="1" t="str">
        <f t="shared" si="2"/>
        <v>(</v>
      </c>
      <c r="M16" s="1">
        <f t="shared" si="3"/>
        <v>20</v>
      </c>
      <c r="N16" s="1" t="str">
        <f t="shared" si="4"/>
        <v>)</v>
      </c>
      <c r="O16" s="1" t="str">
        <f t="shared" si="5"/>
        <v>NULL</v>
      </c>
      <c r="P16" s="1" t="str">
        <f t="shared" si="6"/>
        <v/>
      </c>
      <c r="Q16" s="1" t="s">
        <v>113</v>
      </c>
      <c r="R16" s="1"/>
      <c r="S16" s="1" t="str">
        <f>"COMMENT ON COLUMN " &amp; C3 &amp; "." &amp; C16 &amp; " IS '" &amp; B16 &amp; "'"</f>
        <v>COMMENT ON COLUMN LOCATION.UPBY IS '수정자'</v>
      </c>
    </row>
    <row r="17" spans="1:19" x14ac:dyDescent="0.3">
      <c r="A17" s="2"/>
      <c r="B17" s="2" t="s">
        <v>259</v>
      </c>
      <c r="C17" s="2" t="s">
        <v>792</v>
      </c>
      <c r="D17" s="2" t="s">
        <v>259</v>
      </c>
      <c r="E17" s="2" t="s">
        <v>228</v>
      </c>
      <c r="F17" s="2"/>
      <c r="G17" s="2" t="s">
        <v>122</v>
      </c>
      <c r="H17" s="12"/>
      <c r="I17" s="1"/>
      <c r="J17" s="1" t="str">
        <f t="shared" si="0"/>
        <v>UPDTTM</v>
      </c>
      <c r="K17" s="1" t="str">
        <f t="shared" si="1"/>
        <v>DATE</v>
      </c>
      <c r="L17" s="1" t="str">
        <f t="shared" si="2"/>
        <v/>
      </c>
      <c r="M17" s="1" t="str">
        <f t="shared" si="3"/>
        <v/>
      </c>
      <c r="N17" s="1" t="str">
        <f t="shared" si="4"/>
        <v/>
      </c>
      <c r="O17" s="1" t="str">
        <f t="shared" si="5"/>
        <v>NULL</v>
      </c>
      <c r="P17" s="1" t="str">
        <f t="shared" si="6"/>
        <v/>
      </c>
      <c r="Q17" s="21" t="s">
        <v>723</v>
      </c>
      <c r="R17" s="1"/>
      <c r="S17" s="1" t="str">
        <f>"COMMENT ON COLUMN " &amp; C3 &amp; "." &amp; C17 &amp; " IS '" &amp; B17 &amp; "'"</f>
        <v>COMMENT ON COLUMN LOCATION.UPDTTM IS '수정일시'</v>
      </c>
    </row>
    <row r="18" spans="1:19" x14ac:dyDescent="0.3">
      <c r="J18" s="13" t="str">
        <f>"ALTER TABLE "&amp;C3&amp;""</f>
        <v>ALTER TABLE LOCATION</v>
      </c>
    </row>
    <row r="19" spans="1:19" x14ac:dyDescent="0.3">
      <c r="J19" s="13" t="str" cm="1">
        <f t="array" ref="J19">"ADD CONSTRAINT PK_"&amp;C3&amp;" PRIMARY KEY (" &amp; _xlfn.TEXTJOIN(", ", TRUE, _xlfn._xlws.FILTER(C6:C62, A6:A62="Y")) &amp; ")"</f>
        <v>ADD CONSTRAINT PK_LOCATION PRIMARY KEY (PLANT_CODE, LOCATION_CODE)</v>
      </c>
    </row>
  </sheetData>
  <phoneticPr fontId="7" type="noConversion"/>
  <hyperlinks>
    <hyperlink ref="A1" location="리스트!A1" display="리스트로 이동" xr:uid="{85A8D1D2-1D32-407B-A703-36E898C1AB30}"/>
  </hyperlinks>
  <pageMargins left="0.74805557727813721" right="0.74805557727813721" top="0.98430556058883667" bottom="0.98430556058883667" header="0.51166665554046631" footer="0.51166665554046631"/>
  <pageSetup paperSize="9" fitToWidth="0" fitToHeight="0" orientation="portrait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/>
  <dimension ref="A1:S25"/>
  <sheetViews>
    <sheetView zoomScaleNormal="100" zoomScaleSheetLayoutView="100" workbookViewId="0">
      <selection activeCell="I3" sqref="I3:P3"/>
    </sheetView>
  </sheetViews>
  <sheetFormatPr defaultColWidth="9" defaultRowHeight="16.5" x14ac:dyDescent="0.3"/>
  <cols>
    <col min="1" max="1" width="8.625" style="1" bestFit="1" customWidth="1"/>
    <col min="2" max="2" width="14.25" style="1" bestFit="1" customWidth="1"/>
    <col min="3" max="3" width="19" style="1" bestFit="1" customWidth="1"/>
    <col min="4" max="4" width="19.375" style="1" bestFit="1" customWidth="1"/>
    <col min="5" max="5" width="12.75" style="1" bestFit="1" customWidth="1"/>
    <col min="6" max="6" width="6.75" style="1" bestFit="1" customWidth="1"/>
    <col min="7" max="7" width="9" style="1" bestFit="1" customWidth="1"/>
    <col min="8" max="8" width="9" style="1"/>
    <col min="9" max="9" width="25.625" style="1" customWidth="1"/>
    <col min="10" max="10" width="11.125" style="1" bestFit="1" customWidth="1"/>
    <col min="11" max="11" width="1.625" style="1" bestFit="1" customWidth="1"/>
    <col min="12" max="12" width="4" style="1" bestFit="1" customWidth="1"/>
    <col min="13" max="13" width="1.625" style="1" bestFit="1" customWidth="1"/>
    <col min="14" max="14" width="10.125" style="1" bestFit="1" customWidth="1"/>
    <col min="15" max="15" width="11.375" style="1" bestFit="1" customWidth="1"/>
    <col min="16" max="16384" width="9" style="1"/>
  </cols>
  <sheetData>
    <row r="1" spans="1:19" customFormat="1" x14ac:dyDescent="0.3">
      <c r="A1" s="16" t="s">
        <v>615</v>
      </c>
    </row>
    <row r="2" spans="1:19" x14ac:dyDescent="0.3">
      <c r="A2" s="2"/>
      <c r="B2" s="2" t="s">
        <v>116</v>
      </c>
      <c r="C2" s="2" t="s">
        <v>119</v>
      </c>
    </row>
    <row r="3" spans="1:19" x14ac:dyDescent="0.3">
      <c r="A3" s="2" t="s">
        <v>257</v>
      </c>
      <c r="B3" s="2" t="s">
        <v>100</v>
      </c>
      <c r="C3" s="12" t="s">
        <v>647</v>
      </c>
      <c r="I3" s="13" t="str">
        <f>"DROP TABLE "&amp;B3&amp;" CASCADE CONSTRAINTS PURGE"</f>
        <v>DROP TABLE 스케일 CASCADE CONSTRAINTS PURGE</v>
      </c>
      <c r="O3" s="21"/>
      <c r="P3" s="21" t="s">
        <v>771</v>
      </c>
    </row>
    <row r="4" spans="1:19" x14ac:dyDescent="0.3">
      <c r="A4" s="2"/>
      <c r="B4" s="2"/>
      <c r="C4" s="2"/>
    </row>
    <row r="6" spans="1:19" x14ac:dyDescent="0.3">
      <c r="A6" s="2" t="s">
        <v>88</v>
      </c>
      <c r="B6" s="2" t="s">
        <v>215</v>
      </c>
      <c r="C6" s="2" t="s">
        <v>252</v>
      </c>
      <c r="D6" s="2" t="s">
        <v>169</v>
      </c>
      <c r="E6" s="2" t="s">
        <v>265</v>
      </c>
      <c r="F6" s="2" t="s">
        <v>101</v>
      </c>
      <c r="G6" s="2" t="s">
        <v>205</v>
      </c>
      <c r="I6" s="1" t="str">
        <f>"CREATE TABLE "&amp;B4&amp;" ("</f>
        <v>CREATE TABLE  (</v>
      </c>
      <c r="R6" s="1" t="e">
        <f>"COMMENT ON TABLE " &amp; B4 &amp; " IS '" &amp; SUBSTITUTE(#REF!,"'","''") &amp; "'"</f>
        <v>#REF!</v>
      </c>
    </row>
    <row r="7" spans="1:19" x14ac:dyDescent="0.3">
      <c r="A7" s="2" t="s">
        <v>122</v>
      </c>
      <c r="B7" s="2" t="s">
        <v>20</v>
      </c>
      <c r="C7" s="2" t="s">
        <v>528</v>
      </c>
      <c r="D7" s="2" t="s">
        <v>293</v>
      </c>
      <c r="E7" s="2" t="s">
        <v>618</v>
      </c>
      <c r="F7" s="2">
        <v>10</v>
      </c>
      <c r="G7" s="2" t="s">
        <v>90</v>
      </c>
      <c r="I7" s="1" t="str">
        <f t="shared" ref="I7:I21" si="0">""&amp;B7&amp;""</f>
        <v>고객사</v>
      </c>
      <c r="J7" s="1" t="str">
        <f t="shared" ref="J7:J21" si="1">""&amp;D7&amp;""</f>
        <v>고객사(CUSTOMERS)</v>
      </c>
      <c r="K7" s="1" t="str">
        <f t="shared" ref="K7:K23" si="2">IF(E7="","","(")</f>
        <v>(</v>
      </c>
      <c r="L7" s="1" t="str">
        <f t="shared" ref="L7:L23" si="3">IF(E7="","",E7)</f>
        <v>NVARCHAR2</v>
      </c>
      <c r="M7" s="1" t="str">
        <f t="shared" ref="M7:M23" si="4">IF(E7="","",")")</f>
        <v>)</v>
      </c>
      <c r="N7" s="1" t="str">
        <f>IF(F7="N","NOT NULL","NULL")</f>
        <v>NULL</v>
      </c>
      <c r="O7" s="1" t="str">
        <f>IF(G7&lt;&gt;"","DEFAULT "&amp;G7,"")</f>
        <v>DEFAULT N</v>
      </c>
      <c r="P7" s="1" t="s">
        <v>113</v>
      </c>
      <c r="Q7"/>
      <c r="R7" s="1" t="e">
        <f>"COMMENT ON COLUMN " &amp; B4 &amp; "." &amp; B7 &amp; " IS '" &amp;#REF! &amp; "'"</f>
        <v>#REF!</v>
      </c>
    </row>
    <row r="8" spans="1:19" customFormat="1" x14ac:dyDescent="0.3">
      <c r="A8" s="2" t="s">
        <v>565</v>
      </c>
      <c r="B8" s="2" t="s">
        <v>245</v>
      </c>
      <c r="C8" s="12" t="s">
        <v>291</v>
      </c>
      <c r="D8" s="2" t="s">
        <v>294</v>
      </c>
      <c r="E8" s="2" t="s">
        <v>618</v>
      </c>
      <c r="F8" s="2">
        <v>20</v>
      </c>
      <c r="G8" s="2" t="s">
        <v>122</v>
      </c>
      <c r="H8" s="2"/>
      <c r="I8" s="1"/>
      <c r="J8" s="1" t="str">
        <f t="shared" ref="J8:J9" si="5">""&amp;C8&amp;""</f>
        <v>PROCESS_CODE</v>
      </c>
      <c r="K8" s="1" t="str">
        <f t="shared" ref="K8:K9" si="6">""&amp;E8&amp;""</f>
        <v>NVARCHAR2</v>
      </c>
      <c r="L8" s="1" t="str">
        <f t="shared" ref="L8:L9" si="7">IF(F8="","","(")</f>
        <v>(</v>
      </c>
      <c r="M8" s="1">
        <f t="shared" ref="M8:M9" si="8">IF(F8="","",F8)</f>
        <v>20</v>
      </c>
      <c r="N8" s="1" t="str">
        <f t="shared" ref="N8:N9" si="9">IF(F8="","",")")</f>
        <v>)</v>
      </c>
      <c r="O8" s="1" t="str">
        <f t="shared" ref="O8:O9" si="10">IF(G8="N","NOT NULL","NULL")</f>
        <v>NULL</v>
      </c>
      <c r="P8" s="1" t="str">
        <f t="shared" ref="P8:P9" si="11">IF(H8&lt;&gt;"","DEFAULT "&amp;H8,"")</f>
        <v/>
      </c>
      <c r="Q8" s="1" t="s">
        <v>113</v>
      </c>
      <c r="R8" s="1"/>
      <c r="S8" s="1" t="str">
        <f>"COMMENT ON COLUMN " &amp; C4 &amp; "." &amp; C8 &amp; " IS '" &amp; B8 &amp; "'"</f>
        <v>COMMENT ON COLUMN .PROCESS_CODE IS '공정코드'</v>
      </c>
    </row>
    <row r="9" spans="1:19" customFormat="1" x14ac:dyDescent="0.3">
      <c r="A9" s="2"/>
      <c r="B9" s="2" t="s">
        <v>654</v>
      </c>
      <c r="C9" s="12" t="s">
        <v>782</v>
      </c>
      <c r="D9" s="2" t="s">
        <v>132</v>
      </c>
      <c r="E9" s="2" t="s">
        <v>618</v>
      </c>
      <c r="F9" s="2">
        <v>10</v>
      </c>
      <c r="G9" s="2" t="s">
        <v>90</v>
      </c>
      <c r="H9" s="2"/>
      <c r="I9" s="1"/>
      <c r="J9" s="1" t="str">
        <f t="shared" si="5"/>
        <v>LINE_CODE</v>
      </c>
      <c r="K9" s="1" t="str">
        <f t="shared" si="6"/>
        <v>NVARCHAR2</v>
      </c>
      <c r="L9" s="1" t="str">
        <f t="shared" si="7"/>
        <v>(</v>
      </c>
      <c r="M9" s="1">
        <f t="shared" si="8"/>
        <v>10</v>
      </c>
      <c r="N9" s="1" t="str">
        <f t="shared" si="9"/>
        <v>)</v>
      </c>
      <c r="O9" s="1" t="str">
        <f t="shared" si="10"/>
        <v>NOT NULL</v>
      </c>
      <c r="P9" s="1" t="str">
        <f t="shared" si="11"/>
        <v/>
      </c>
      <c r="Q9" s="1" t="s">
        <v>113</v>
      </c>
      <c r="R9" s="1"/>
      <c r="S9" s="1" t="str">
        <f>"COMMENT ON COLUMN " &amp; C4 &amp; "." &amp; C9 &amp; " IS '" &amp; B9 &amp; "'"</f>
        <v>COMMENT ON COLUMN .LINE_CODE IS '라인코드'</v>
      </c>
    </row>
    <row r="10" spans="1:19" x14ac:dyDescent="0.3">
      <c r="A10" s="2" t="s">
        <v>122</v>
      </c>
      <c r="B10" s="2" t="s">
        <v>220</v>
      </c>
      <c r="C10" s="2" t="s">
        <v>267</v>
      </c>
      <c r="D10" s="2" t="s">
        <v>220</v>
      </c>
      <c r="E10" s="2" t="s">
        <v>618</v>
      </c>
      <c r="F10" s="2">
        <v>10</v>
      </c>
      <c r="G10" s="2" t="s">
        <v>90</v>
      </c>
      <c r="I10" s="1" t="str">
        <f t="shared" si="0"/>
        <v>스케일코드</v>
      </c>
      <c r="J10" s="1" t="str">
        <f t="shared" si="1"/>
        <v>스케일코드</v>
      </c>
      <c r="K10" s="1" t="str">
        <f t="shared" si="2"/>
        <v>(</v>
      </c>
      <c r="L10" s="1" t="str">
        <f t="shared" si="3"/>
        <v>NVARCHAR2</v>
      </c>
      <c r="M10" s="1" t="str">
        <f t="shared" si="4"/>
        <v>)</v>
      </c>
      <c r="N10" s="1" t="str">
        <f t="shared" ref="N10:N23" si="12">IF(F10="N","NOT NULL","NULL")</f>
        <v>NULL</v>
      </c>
      <c r="O10" s="1" t="str">
        <f t="shared" ref="O10:O23" si="13">IF(G10&lt;&gt;"","DEFAULT "&amp;G10,"")</f>
        <v>DEFAULT N</v>
      </c>
      <c r="P10" s="1" t="s">
        <v>113</v>
      </c>
      <c r="R10" s="1" t="e">
        <f>"COMMENT ON COLUMN " &amp; B5 &amp; "." &amp; B10 &amp; " IS '" &amp;#REF! &amp; "'"</f>
        <v>#REF!</v>
      </c>
    </row>
    <row r="11" spans="1:19" x14ac:dyDescent="0.3">
      <c r="A11" s="2"/>
      <c r="B11" s="2" t="s">
        <v>242</v>
      </c>
      <c r="C11" s="2" t="s">
        <v>158</v>
      </c>
      <c r="D11" s="2" t="s">
        <v>242</v>
      </c>
      <c r="E11" s="2" t="s">
        <v>618</v>
      </c>
      <c r="F11" s="2">
        <v>20</v>
      </c>
      <c r="G11" s="2" t="s">
        <v>90</v>
      </c>
      <c r="I11" s="1" t="str">
        <f t="shared" si="0"/>
        <v>스케일명</v>
      </c>
      <c r="J11" s="1" t="str">
        <f t="shared" si="1"/>
        <v>스케일명</v>
      </c>
      <c r="K11" s="1" t="str">
        <f t="shared" si="2"/>
        <v>(</v>
      </c>
      <c r="L11" s="1" t="str">
        <f t="shared" si="3"/>
        <v>NVARCHAR2</v>
      </c>
      <c r="M11" s="1" t="str">
        <f t="shared" si="4"/>
        <v>)</v>
      </c>
      <c r="N11" s="1" t="str">
        <f t="shared" si="12"/>
        <v>NULL</v>
      </c>
      <c r="O11" s="1" t="str">
        <f t="shared" si="13"/>
        <v>DEFAULT N</v>
      </c>
      <c r="P11" s="1" t="s">
        <v>113</v>
      </c>
      <c r="R11" s="1" t="e">
        <f>"COMMENT ON COLUMN " &amp; B6 &amp; "." &amp; B11 &amp; " IS '" &amp;#REF! &amp; "'"</f>
        <v>#REF!</v>
      </c>
    </row>
    <row r="12" spans="1:19" x14ac:dyDescent="0.3">
      <c r="A12" s="2"/>
      <c r="B12" s="2" t="s">
        <v>223</v>
      </c>
      <c r="C12" s="2" t="s">
        <v>268</v>
      </c>
      <c r="D12" s="2" t="s">
        <v>223</v>
      </c>
      <c r="E12" s="2" t="s">
        <v>545</v>
      </c>
      <c r="F12" s="2" t="s">
        <v>262</v>
      </c>
      <c r="G12" s="2" t="s">
        <v>122</v>
      </c>
      <c r="I12" s="1" t="str">
        <f t="shared" si="0"/>
        <v>최대용량</v>
      </c>
      <c r="J12" s="1" t="str">
        <f t="shared" si="1"/>
        <v>최대용량</v>
      </c>
      <c r="K12" s="1" t="str">
        <f t="shared" si="2"/>
        <v>(</v>
      </c>
      <c r="L12" s="1" t="str">
        <f t="shared" si="3"/>
        <v>NUMBER</v>
      </c>
      <c r="M12" s="1" t="str">
        <f t="shared" si="4"/>
        <v>)</v>
      </c>
      <c r="N12" s="1" t="str">
        <f t="shared" si="12"/>
        <v>NULL</v>
      </c>
      <c r="O12" s="1" t="str">
        <f t="shared" si="13"/>
        <v>DEFAULT Y</v>
      </c>
      <c r="P12" s="1" t="s">
        <v>113</v>
      </c>
      <c r="R12" s="1" t="e">
        <f>"COMMENT ON COLUMN " &amp; B7 &amp; "." &amp; B12 &amp; " IS '" &amp;#REF! &amp; "'"</f>
        <v>#REF!</v>
      </c>
    </row>
    <row r="13" spans="1:19" x14ac:dyDescent="0.3">
      <c r="A13" s="2"/>
      <c r="B13" s="2" t="s">
        <v>91</v>
      </c>
      <c r="C13" s="2" t="s">
        <v>166</v>
      </c>
      <c r="D13" s="2" t="s">
        <v>91</v>
      </c>
      <c r="E13" s="2" t="s">
        <v>545</v>
      </c>
      <c r="F13" s="2" t="s">
        <v>262</v>
      </c>
      <c r="G13" s="2" t="s">
        <v>122</v>
      </c>
      <c r="I13" s="1" t="str">
        <f t="shared" si="0"/>
        <v>잔량</v>
      </c>
      <c r="J13" s="1" t="str">
        <f t="shared" si="1"/>
        <v>잔량</v>
      </c>
      <c r="K13" s="1" t="str">
        <f t="shared" si="2"/>
        <v>(</v>
      </c>
      <c r="L13" s="1" t="str">
        <f t="shared" si="3"/>
        <v>NUMBER</v>
      </c>
      <c r="M13" s="1" t="str">
        <f t="shared" si="4"/>
        <v>)</v>
      </c>
      <c r="N13" s="1" t="str">
        <f t="shared" si="12"/>
        <v>NULL</v>
      </c>
      <c r="O13" s="1" t="str">
        <f t="shared" si="13"/>
        <v>DEFAULT Y</v>
      </c>
      <c r="P13" s="1" t="s">
        <v>113</v>
      </c>
      <c r="R13" s="1" t="e">
        <f>"COMMENT ON COLUMN " &amp; B10 &amp; "." &amp; B13 &amp; " IS '" &amp;#REF! &amp; "'"</f>
        <v>#REF!</v>
      </c>
    </row>
    <row r="14" spans="1:19" x14ac:dyDescent="0.3">
      <c r="A14" s="2"/>
      <c r="B14" s="2" t="s">
        <v>253</v>
      </c>
      <c r="C14" s="2" t="s">
        <v>187</v>
      </c>
      <c r="D14" s="2" t="s">
        <v>253</v>
      </c>
      <c r="E14" s="2" t="s">
        <v>545</v>
      </c>
      <c r="F14" s="2" t="s">
        <v>262</v>
      </c>
      <c r="G14" s="2" t="s">
        <v>122</v>
      </c>
      <c r="I14" s="1" t="str">
        <f t="shared" si="0"/>
        <v>계량대기</v>
      </c>
      <c r="J14" s="1" t="str">
        <f t="shared" si="1"/>
        <v>계량대기</v>
      </c>
      <c r="K14" s="1" t="str">
        <f t="shared" si="2"/>
        <v>(</v>
      </c>
      <c r="L14" s="1" t="str">
        <f t="shared" si="3"/>
        <v>NUMBER</v>
      </c>
      <c r="M14" s="1" t="str">
        <f t="shared" si="4"/>
        <v>)</v>
      </c>
      <c r="N14" s="1" t="str">
        <f t="shared" si="12"/>
        <v>NULL</v>
      </c>
      <c r="O14" s="1" t="str">
        <f t="shared" si="13"/>
        <v>DEFAULT Y</v>
      </c>
      <c r="P14" s="1" t="s">
        <v>113</v>
      </c>
      <c r="R14" s="1" t="e">
        <f>"COMMENT ON COLUMN " &amp; B11 &amp; "." &amp; B14 &amp; " IS '" &amp;#REF! &amp; "'"</f>
        <v>#REF!</v>
      </c>
    </row>
    <row r="15" spans="1:19" x14ac:dyDescent="0.3">
      <c r="A15" s="2"/>
      <c r="B15" s="2" t="s">
        <v>76</v>
      </c>
      <c r="C15" s="2" t="s">
        <v>131</v>
      </c>
      <c r="D15" s="2" t="s">
        <v>76</v>
      </c>
      <c r="E15" s="2" t="s">
        <v>545</v>
      </c>
      <c r="F15" s="2" t="s">
        <v>262</v>
      </c>
      <c r="G15" s="2" t="s">
        <v>122</v>
      </c>
      <c r="I15" s="1" t="str">
        <f t="shared" si="0"/>
        <v>계량안정</v>
      </c>
      <c r="J15" s="1" t="str">
        <f t="shared" si="1"/>
        <v>계량안정</v>
      </c>
      <c r="K15" s="1" t="str">
        <f t="shared" si="2"/>
        <v>(</v>
      </c>
      <c r="L15" s="1" t="str">
        <f t="shared" si="3"/>
        <v>NUMBER</v>
      </c>
      <c r="M15" s="1" t="str">
        <f t="shared" si="4"/>
        <v>)</v>
      </c>
      <c r="N15" s="1" t="str">
        <f t="shared" si="12"/>
        <v>NULL</v>
      </c>
      <c r="O15" s="1" t="str">
        <f t="shared" si="13"/>
        <v>DEFAULT Y</v>
      </c>
      <c r="P15" s="1" t="s">
        <v>113</v>
      </c>
      <c r="R15" s="1" t="e">
        <f>"COMMENT ON COLUMN " &amp; B12 &amp; "." &amp; B15 &amp; " IS '" &amp;#REF! &amp; "'"</f>
        <v>#REF!</v>
      </c>
    </row>
    <row r="16" spans="1:19" x14ac:dyDescent="0.3">
      <c r="A16" s="2"/>
      <c r="B16" s="2" t="s">
        <v>74</v>
      </c>
      <c r="C16" s="2" t="s">
        <v>192</v>
      </c>
      <c r="D16" s="2" t="s">
        <v>74</v>
      </c>
      <c r="E16" s="2" t="s">
        <v>545</v>
      </c>
      <c r="F16" s="2" t="s">
        <v>262</v>
      </c>
      <c r="G16" s="2" t="s">
        <v>122</v>
      </c>
      <c r="I16" s="1" t="str">
        <f t="shared" si="0"/>
        <v>방출대기</v>
      </c>
      <c r="J16" s="1" t="str">
        <f t="shared" si="1"/>
        <v>방출대기</v>
      </c>
      <c r="K16" s="1" t="str">
        <f t="shared" si="2"/>
        <v>(</v>
      </c>
      <c r="L16" s="1" t="str">
        <f t="shared" si="3"/>
        <v>NUMBER</v>
      </c>
      <c r="M16" s="1" t="str">
        <f t="shared" si="4"/>
        <v>)</v>
      </c>
      <c r="N16" s="1" t="str">
        <f t="shared" si="12"/>
        <v>NULL</v>
      </c>
      <c r="O16" s="1" t="str">
        <f t="shared" si="13"/>
        <v>DEFAULT Y</v>
      </c>
      <c r="P16" s="1" t="s">
        <v>113</v>
      </c>
      <c r="R16" s="1" t="e">
        <f>"COMMENT ON COLUMN " &amp; B13 &amp; "." &amp; B16 &amp; " IS '" &amp;#REF! &amp; "'"</f>
        <v>#REF!</v>
      </c>
    </row>
    <row r="17" spans="1:18" x14ac:dyDescent="0.3">
      <c r="A17" s="2"/>
      <c r="B17" s="2" t="s">
        <v>75</v>
      </c>
      <c r="C17" s="2" t="s">
        <v>190</v>
      </c>
      <c r="D17" s="2" t="s">
        <v>75</v>
      </c>
      <c r="E17" s="2" t="s">
        <v>545</v>
      </c>
      <c r="F17" s="2" t="s">
        <v>262</v>
      </c>
      <c r="G17" s="2" t="s">
        <v>122</v>
      </c>
      <c r="I17" s="1" t="str">
        <f t="shared" si="0"/>
        <v>방출안정</v>
      </c>
      <c r="J17" s="1" t="str">
        <f t="shared" si="1"/>
        <v>방출안정</v>
      </c>
      <c r="K17" s="1" t="str">
        <f t="shared" si="2"/>
        <v>(</v>
      </c>
      <c r="L17" s="1" t="str">
        <f t="shared" si="3"/>
        <v>NUMBER</v>
      </c>
      <c r="M17" s="1" t="str">
        <f t="shared" si="4"/>
        <v>)</v>
      </c>
      <c r="N17" s="1" t="str">
        <f t="shared" si="12"/>
        <v>NULL</v>
      </c>
      <c r="O17" s="1" t="str">
        <f t="shared" si="13"/>
        <v>DEFAULT Y</v>
      </c>
      <c r="P17" s="1" t="s">
        <v>113</v>
      </c>
      <c r="R17" s="1" t="e">
        <f>"COMMENT ON COLUMN " &amp; B14 &amp; "." &amp; B17 &amp; " IS '" &amp;#REF! &amp; "'"</f>
        <v>#REF!</v>
      </c>
    </row>
    <row r="18" spans="1:18" x14ac:dyDescent="0.3">
      <c r="A18" s="2"/>
      <c r="B18" s="2" t="s">
        <v>170</v>
      </c>
      <c r="C18" s="2" t="s">
        <v>164</v>
      </c>
      <c r="D18" s="2" t="s">
        <v>170</v>
      </c>
      <c r="E18" s="2" t="s">
        <v>545</v>
      </c>
      <c r="F18" s="2" t="s">
        <v>262</v>
      </c>
      <c r="G18" s="2" t="s">
        <v>122</v>
      </c>
      <c r="I18" s="1" t="str">
        <f t="shared" si="0"/>
        <v>스케일최대(Hz)</v>
      </c>
      <c r="J18" s="1" t="str">
        <f t="shared" si="1"/>
        <v>스케일최대(Hz)</v>
      </c>
      <c r="K18" s="1" t="str">
        <f t="shared" si="2"/>
        <v>(</v>
      </c>
      <c r="L18" s="1" t="str">
        <f t="shared" si="3"/>
        <v>NUMBER</v>
      </c>
      <c r="M18" s="1" t="str">
        <f t="shared" si="4"/>
        <v>)</v>
      </c>
      <c r="N18" s="1" t="str">
        <f t="shared" si="12"/>
        <v>NULL</v>
      </c>
      <c r="O18" s="1" t="str">
        <f t="shared" si="13"/>
        <v>DEFAULT Y</v>
      </c>
      <c r="P18" s="1" t="s">
        <v>113</v>
      </c>
      <c r="R18" s="1" t="e">
        <f>"COMMENT ON COLUMN " &amp; B15 &amp; "." &amp; B18 &amp; " IS '" &amp;#REF! &amp; "'"</f>
        <v>#REF!</v>
      </c>
    </row>
    <row r="19" spans="1:18" x14ac:dyDescent="0.3">
      <c r="A19" s="2"/>
      <c r="B19" s="2" t="s">
        <v>157</v>
      </c>
      <c r="C19" s="2" t="s">
        <v>172</v>
      </c>
      <c r="D19" s="2" t="s">
        <v>157</v>
      </c>
      <c r="E19" s="2" t="s">
        <v>545</v>
      </c>
      <c r="F19" s="2" t="s">
        <v>262</v>
      </c>
      <c r="G19" s="2" t="s">
        <v>122</v>
      </c>
      <c r="I19" s="1" t="str">
        <f t="shared" si="0"/>
        <v>스케일비율(KG)</v>
      </c>
      <c r="J19" s="1" t="str">
        <f t="shared" si="1"/>
        <v>스케일비율(KG)</v>
      </c>
      <c r="K19" s="1" t="str">
        <f t="shared" si="2"/>
        <v>(</v>
      </c>
      <c r="L19" s="1" t="str">
        <f t="shared" si="3"/>
        <v>NUMBER</v>
      </c>
      <c r="M19" s="1" t="str">
        <f t="shared" si="4"/>
        <v>)</v>
      </c>
      <c r="N19" s="1" t="str">
        <f t="shared" si="12"/>
        <v>NULL</v>
      </c>
      <c r="O19" s="1" t="str">
        <f t="shared" si="13"/>
        <v>DEFAULT Y</v>
      </c>
      <c r="P19" s="1" t="s">
        <v>113</v>
      </c>
      <c r="R19" s="1" t="e">
        <f>"COMMENT ON COLUMN " &amp; B16 &amp; "." &amp; B19 &amp; " IS '" &amp;#REF! &amp; "'"</f>
        <v>#REF!</v>
      </c>
    </row>
    <row r="20" spans="1:18" x14ac:dyDescent="0.3">
      <c r="A20" s="2"/>
      <c r="B20" s="2" t="s">
        <v>111</v>
      </c>
      <c r="C20" s="2" t="s">
        <v>790</v>
      </c>
      <c r="D20" s="2" t="s">
        <v>188</v>
      </c>
      <c r="E20" s="2" t="s">
        <v>618</v>
      </c>
      <c r="F20" s="2">
        <v>20</v>
      </c>
      <c r="G20" s="2" t="s">
        <v>90</v>
      </c>
      <c r="I20" s="1" t="str">
        <f t="shared" si="0"/>
        <v>입력자</v>
      </c>
      <c r="J20" s="1" t="str">
        <f t="shared" si="1"/>
        <v>입력자(EMPLOYEE)</v>
      </c>
      <c r="K20" s="1" t="str">
        <f t="shared" si="2"/>
        <v>(</v>
      </c>
      <c r="L20" s="1" t="str">
        <f t="shared" si="3"/>
        <v>NVARCHAR2</v>
      </c>
      <c r="M20" s="1" t="str">
        <f t="shared" si="4"/>
        <v>)</v>
      </c>
      <c r="N20" s="1" t="str">
        <f t="shared" si="12"/>
        <v>NULL</v>
      </c>
      <c r="O20" s="1" t="str">
        <f t="shared" si="13"/>
        <v>DEFAULT N</v>
      </c>
      <c r="P20" s="1" t="s">
        <v>113</v>
      </c>
      <c r="R20" s="1" t="e">
        <f>"COMMENT ON COLUMN " &amp; B17 &amp; "." &amp; B20 &amp; " IS '" &amp;#REF! &amp; "'"</f>
        <v>#REF!</v>
      </c>
    </row>
    <row r="21" spans="1:18" x14ac:dyDescent="0.3">
      <c r="A21" s="2"/>
      <c r="B21" s="2" t="s">
        <v>254</v>
      </c>
      <c r="C21" s="2" t="s">
        <v>791</v>
      </c>
      <c r="D21" s="2" t="s">
        <v>254</v>
      </c>
      <c r="E21" s="2" t="s">
        <v>228</v>
      </c>
      <c r="F21" s="2"/>
      <c r="G21" s="2" t="s">
        <v>90</v>
      </c>
      <c r="I21" s="1" t="str">
        <f t="shared" si="0"/>
        <v>입력일시</v>
      </c>
      <c r="J21" s="1" t="str">
        <f t="shared" si="1"/>
        <v>입력일시</v>
      </c>
      <c r="K21" s="1" t="str">
        <f t="shared" si="2"/>
        <v>(</v>
      </c>
      <c r="L21" s="1" t="str">
        <f t="shared" si="3"/>
        <v>DATE</v>
      </c>
      <c r="M21" s="1" t="str">
        <f t="shared" si="4"/>
        <v>)</v>
      </c>
      <c r="N21" s="1" t="str">
        <f t="shared" si="12"/>
        <v>NULL</v>
      </c>
      <c r="O21" s="1" t="str">
        <f t="shared" si="13"/>
        <v>DEFAULT N</v>
      </c>
      <c r="P21" s="1" t="s">
        <v>113</v>
      </c>
      <c r="R21" s="1" t="e">
        <f>"COMMENT ON COLUMN " &amp; B18 &amp; "." &amp; B21 &amp; " IS '" &amp;#REF! &amp; "'"</f>
        <v>#REF!</v>
      </c>
    </row>
    <row r="22" spans="1:18" x14ac:dyDescent="0.3">
      <c r="A22" s="2"/>
      <c r="B22" s="2" t="s">
        <v>99</v>
      </c>
      <c r="C22" s="2" t="s">
        <v>793</v>
      </c>
      <c r="D22" s="2" t="s">
        <v>197</v>
      </c>
      <c r="E22" s="2" t="s">
        <v>618</v>
      </c>
      <c r="F22" s="2">
        <v>20</v>
      </c>
      <c r="G22" s="2" t="s">
        <v>122</v>
      </c>
      <c r="I22" s="1" t="str">
        <f>""&amp;B22&amp;""</f>
        <v>수정자</v>
      </c>
      <c r="J22" s="1" t="str">
        <f>""&amp;D22&amp;""</f>
        <v>수정자(EMPLOYEE)</v>
      </c>
      <c r="K22" s="1" t="str">
        <f t="shared" si="2"/>
        <v>(</v>
      </c>
      <c r="L22" s="1" t="str">
        <f t="shared" si="3"/>
        <v>NVARCHAR2</v>
      </c>
      <c r="M22" s="1" t="str">
        <f t="shared" si="4"/>
        <v>)</v>
      </c>
      <c r="N22" s="1" t="str">
        <f t="shared" si="12"/>
        <v>NULL</v>
      </c>
      <c r="O22" s="1" t="str">
        <f t="shared" si="13"/>
        <v>DEFAULT Y</v>
      </c>
      <c r="P22" s="1" t="s">
        <v>113</v>
      </c>
      <c r="R22" s="1" t="e">
        <f>"COMMENT ON COLUMN " &amp; B19 &amp; "." &amp; B22 &amp; " IS '" &amp;#REF! &amp; "'"</f>
        <v>#REF!</v>
      </c>
    </row>
    <row r="23" spans="1:18" x14ac:dyDescent="0.3">
      <c r="A23" s="2"/>
      <c r="B23" s="2" t="s">
        <v>259</v>
      </c>
      <c r="C23" s="2" t="s">
        <v>792</v>
      </c>
      <c r="D23" s="2" t="s">
        <v>259</v>
      </c>
      <c r="E23" s="2" t="s">
        <v>228</v>
      </c>
      <c r="F23" s="2"/>
      <c r="G23" s="2" t="s">
        <v>122</v>
      </c>
      <c r="I23" s="1" t="str">
        <f>""&amp;B23&amp;""</f>
        <v>수정일시</v>
      </c>
      <c r="J23" s="1" t="str">
        <f>""&amp;D23&amp;""</f>
        <v>수정일시</v>
      </c>
      <c r="K23" s="1" t="str">
        <f t="shared" si="2"/>
        <v>(</v>
      </c>
      <c r="L23" s="1" t="str">
        <f t="shared" si="3"/>
        <v>DATE</v>
      </c>
      <c r="M23" s="1" t="str">
        <f t="shared" si="4"/>
        <v>)</v>
      </c>
      <c r="N23" s="1" t="str">
        <f t="shared" si="12"/>
        <v>NULL</v>
      </c>
      <c r="O23" s="1" t="str">
        <f t="shared" si="13"/>
        <v>DEFAULT Y</v>
      </c>
      <c r="P23" s="21" t="s">
        <v>723</v>
      </c>
      <c r="R23" s="1" t="e">
        <f>"COMMENT ON COLUMN " &amp; B20 &amp; "." &amp; B23 &amp; " IS '" &amp;#REF! &amp; "'"</f>
        <v>#REF!</v>
      </c>
    </row>
    <row r="24" spans="1:18" x14ac:dyDescent="0.3">
      <c r="I24" s="13" t="str">
        <f>"ALTER TABLE "&amp;C3&amp;""</f>
        <v>ALTER TABLE SCALE</v>
      </c>
      <c r="J24"/>
      <c r="K24"/>
      <c r="L24"/>
      <c r="M24"/>
      <c r="N24"/>
      <c r="O24"/>
      <c r="P24"/>
      <c r="Q24"/>
      <c r="R24"/>
    </row>
    <row r="25" spans="1:18" x14ac:dyDescent="0.3">
      <c r="I25" s="13" t="str" cm="1">
        <f t="array" ref="I25">"ADD CONSTRAINT PK_"&amp;C3&amp;" PRIMARY KEY (" &amp; _xlfn.TEXTJOIN(", ", TRUE, _xlfn._xlws.FILTER(C7:C60, A7:A60="Y")) &amp; ")"</f>
        <v>ADD CONSTRAINT PK_SCALE PRIMARY KEY (PLANT_CODE, PROCESS_CODE, SCALE_CODE)</v>
      </c>
      <c r="J25"/>
      <c r="K25"/>
      <c r="L25"/>
      <c r="M25"/>
      <c r="N25"/>
      <c r="O25"/>
      <c r="P25"/>
      <c r="Q25"/>
      <c r="R25"/>
    </row>
  </sheetData>
  <phoneticPr fontId="7" type="noConversion"/>
  <hyperlinks>
    <hyperlink ref="A1" location="리스트!A1" display="리스트로 이동" xr:uid="{25F8C14A-277A-4AE7-9211-E62B74603EE1}"/>
  </hyperlinks>
  <pageMargins left="0.74805557727813721" right="0.74805557727813721" top="0.98430556058883667" bottom="0.98430556058883667" header="0.51166665554046631" footer="0.51166665554046631"/>
  <pageSetup paperSize="9" fitToWidth="0" fitToHeight="0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2"/>
  <dimension ref="A1:X40"/>
  <sheetViews>
    <sheetView zoomScaleNormal="100" zoomScaleSheetLayoutView="100" workbookViewId="0">
      <selection activeCell="J3" sqref="J3:Q3"/>
    </sheetView>
  </sheetViews>
  <sheetFormatPr defaultColWidth="9" defaultRowHeight="16.5" x14ac:dyDescent="0.3"/>
  <cols>
    <col min="1" max="1" width="8.625" bestFit="1" customWidth="1"/>
    <col min="2" max="2" width="13.75" bestFit="1" customWidth="1"/>
    <col min="3" max="3" width="14.125" bestFit="1" customWidth="1"/>
    <col min="4" max="4" width="23.125" bestFit="1" customWidth="1"/>
    <col min="5" max="5" width="12.75" bestFit="1" customWidth="1"/>
    <col min="6" max="6" width="6.75" bestFit="1" customWidth="1"/>
    <col min="7" max="7" width="9" bestFit="1" customWidth="1"/>
    <col min="9" max="10" width="16.875" customWidth="1"/>
    <col min="11" max="11" width="1.625" bestFit="1" customWidth="1"/>
    <col min="12" max="12" width="5.125" bestFit="1" customWidth="1"/>
    <col min="13" max="13" width="1.625" bestFit="1" customWidth="1"/>
    <col min="14" max="15" width="10.125" bestFit="1" customWidth="1"/>
    <col min="16" max="16" width="16.875" customWidth="1"/>
  </cols>
  <sheetData>
    <row r="1" spans="1:24" x14ac:dyDescent="0.3">
      <c r="A1" s="16" t="s">
        <v>615</v>
      </c>
    </row>
    <row r="2" spans="1:24" x14ac:dyDescent="0.3">
      <c r="A2" s="2"/>
      <c r="B2" s="2" t="s">
        <v>116</v>
      </c>
      <c r="C2" s="2" t="s">
        <v>119</v>
      </c>
      <c r="D2" s="2" t="s">
        <v>112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24" x14ac:dyDescent="0.3">
      <c r="A3" s="2"/>
      <c r="B3" s="2" t="s">
        <v>98</v>
      </c>
      <c r="C3" s="2" t="s">
        <v>117</v>
      </c>
      <c r="D3" s="2"/>
      <c r="E3" s="1"/>
      <c r="F3" s="1"/>
      <c r="G3" s="1"/>
      <c r="H3" s="1"/>
      <c r="I3" s="1"/>
      <c r="J3" s="13" t="str">
        <f>"DROP TABLE "&amp;C3&amp;" CASCADE CONSTRAINTS PURGE"</f>
        <v>DROP TABLE BIN CASCADE CONSTRAINTS PURGE</v>
      </c>
      <c r="K3" s="1"/>
      <c r="L3" s="1"/>
      <c r="M3" s="1"/>
      <c r="N3" s="1"/>
      <c r="O3" s="1"/>
      <c r="P3" s="21"/>
      <c r="Q3" s="21" t="s">
        <v>771</v>
      </c>
      <c r="R3" s="1"/>
      <c r="S3" s="1"/>
    </row>
    <row r="4" spans="1:2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24" x14ac:dyDescent="0.3">
      <c r="A5" s="2" t="s">
        <v>88</v>
      </c>
      <c r="B5" s="2" t="s">
        <v>215</v>
      </c>
      <c r="C5" s="2" t="s">
        <v>252</v>
      </c>
      <c r="D5" s="2" t="s">
        <v>169</v>
      </c>
      <c r="E5" s="2" t="s">
        <v>265</v>
      </c>
      <c r="F5" s="2" t="s">
        <v>101</v>
      </c>
      <c r="G5" s="2" t="s">
        <v>205</v>
      </c>
      <c r="H5" s="2" t="s">
        <v>569</v>
      </c>
      <c r="I5" s="1"/>
      <c r="J5" s="1" t="str">
        <f>"CREATE TABLE "&amp;C3&amp;" ("</f>
        <v>CREATE TABLE BIN (</v>
      </c>
      <c r="K5" s="1"/>
      <c r="L5" s="1"/>
      <c r="M5" s="1"/>
      <c r="N5" s="1"/>
      <c r="O5" s="1"/>
      <c r="P5" s="1"/>
      <c r="Q5" s="1"/>
      <c r="R5" s="1"/>
      <c r="S5" s="1" t="str">
        <f>"COMMENT ON TABLE " &amp; C3 &amp; " IS '" &amp; SUBSTITUTE(B3,"'","''") &amp; "'"</f>
        <v>COMMENT ON TABLE BIN IS '빈'</v>
      </c>
      <c r="X5" s="13" t="s">
        <v>771</v>
      </c>
    </row>
    <row r="6" spans="1:24" s="1" customFormat="1" x14ac:dyDescent="0.3">
      <c r="A6" s="2" t="s">
        <v>122</v>
      </c>
      <c r="B6" s="2" t="s">
        <v>556</v>
      </c>
      <c r="C6" s="2" t="s">
        <v>653</v>
      </c>
      <c r="D6" s="2" t="s">
        <v>293</v>
      </c>
      <c r="E6" s="2" t="s">
        <v>618</v>
      </c>
      <c r="F6" s="2">
        <v>10</v>
      </c>
      <c r="G6" s="2" t="s">
        <v>90</v>
      </c>
      <c r="H6" s="2"/>
      <c r="J6" s="1" t="str">
        <f t="shared" ref="J6:J34" si="0">""&amp;C6&amp;""</f>
        <v>PLANT_CODE</v>
      </c>
      <c r="K6" s="1" t="str">
        <f t="shared" ref="K6:K34" si="1">""&amp;E6&amp;""</f>
        <v>NVARCHAR2</v>
      </c>
      <c r="L6" s="1" t="str">
        <f t="shared" ref="L6:L38" si="2">IF(F6="","","(")</f>
        <v>(</v>
      </c>
      <c r="M6" s="1">
        <f t="shared" ref="M6:M38" si="3">IF(F6="","",F6)</f>
        <v>10</v>
      </c>
      <c r="N6" s="1" t="str">
        <f t="shared" ref="N6:N38" si="4">IF(F6="","",")")</f>
        <v>)</v>
      </c>
      <c r="O6" s="1" t="str">
        <f>IF(G6="N","NOT NULL","NULL")</f>
        <v>NOT NULL</v>
      </c>
      <c r="P6" s="1" t="str">
        <f>IF(H6&lt;&gt;"","DEFAULT "&amp;H6,"")</f>
        <v/>
      </c>
      <c r="Q6" s="1" t="s">
        <v>113</v>
      </c>
      <c r="R6"/>
      <c r="S6" s="1" t="str">
        <f>"COMMENT ON COLUMN " &amp; C3 &amp; "." &amp; C6 &amp; " IS '" &amp; B6 &amp; "'"</f>
        <v>COMMENT ON COLUMN BIN.PLANT_CODE IS '플랜트코드'</v>
      </c>
      <c r="X6" s="13" t="s">
        <v>771</v>
      </c>
    </row>
    <row r="7" spans="1:24" x14ac:dyDescent="0.3">
      <c r="A7" s="2" t="s">
        <v>565</v>
      </c>
      <c r="B7" s="2" t="s">
        <v>245</v>
      </c>
      <c r="C7" s="2" t="s">
        <v>291</v>
      </c>
      <c r="D7" s="2" t="s">
        <v>294</v>
      </c>
      <c r="E7" s="2" t="s">
        <v>618</v>
      </c>
      <c r="F7" s="2">
        <v>20</v>
      </c>
      <c r="G7" s="2" t="s">
        <v>122</v>
      </c>
      <c r="H7" s="2"/>
      <c r="I7" s="1"/>
      <c r="J7" s="1" t="str">
        <f t="shared" si="0"/>
        <v>PROCESS_CODE</v>
      </c>
      <c r="K7" s="1" t="str">
        <f t="shared" si="1"/>
        <v>NVARCHAR2</v>
      </c>
      <c r="L7" s="1" t="str">
        <f t="shared" si="2"/>
        <v>(</v>
      </c>
      <c r="M7" s="1">
        <f t="shared" si="3"/>
        <v>20</v>
      </c>
      <c r="N7" s="1" t="str">
        <f t="shared" si="4"/>
        <v>)</v>
      </c>
      <c r="O7" s="1" t="str">
        <f t="shared" ref="O7:O38" si="5">IF(G7="N","NOT NULL","NULL")</f>
        <v>NULL</v>
      </c>
      <c r="P7" s="1" t="str">
        <f t="shared" ref="P7:P38" si="6">IF(H7&lt;&gt;"","DEFAULT "&amp;H7,"")</f>
        <v/>
      </c>
      <c r="Q7" s="1" t="s">
        <v>113</v>
      </c>
      <c r="R7" s="1"/>
      <c r="S7" s="1" t="str">
        <f>"COMMENT ON COLUMN " &amp; C3 &amp; "." &amp; C7 &amp; " IS '" &amp; B7 &amp; "'"</f>
        <v>COMMENT ON COLUMN BIN.PROCESS_CODE IS '공정코드'</v>
      </c>
      <c r="X7" s="13" t="s">
        <v>771</v>
      </c>
    </row>
    <row r="8" spans="1:24" x14ac:dyDescent="0.3">
      <c r="A8" s="2"/>
      <c r="B8" s="2" t="s">
        <v>654</v>
      </c>
      <c r="C8" s="2" t="s">
        <v>782</v>
      </c>
      <c r="D8" s="2" t="s">
        <v>132</v>
      </c>
      <c r="E8" s="2" t="s">
        <v>618</v>
      </c>
      <c r="F8" s="2">
        <v>10</v>
      </c>
      <c r="G8" s="2" t="s">
        <v>90</v>
      </c>
      <c r="H8" s="2"/>
      <c r="I8" s="1"/>
      <c r="J8" s="1" t="str">
        <f t="shared" si="0"/>
        <v>LINE_CODE</v>
      </c>
      <c r="K8" s="1" t="str">
        <f t="shared" si="1"/>
        <v>NVARCHAR2</v>
      </c>
      <c r="L8" s="1" t="str">
        <f t="shared" si="2"/>
        <v>(</v>
      </c>
      <c r="M8" s="1">
        <f t="shared" si="3"/>
        <v>10</v>
      </c>
      <c r="N8" s="1" t="str">
        <f t="shared" si="4"/>
        <v>)</v>
      </c>
      <c r="O8" s="1" t="str">
        <f t="shared" si="5"/>
        <v>NOT NULL</v>
      </c>
      <c r="P8" s="1" t="str">
        <f t="shared" si="6"/>
        <v/>
      </c>
      <c r="Q8" s="1" t="s">
        <v>113</v>
      </c>
      <c r="R8" s="1"/>
      <c r="S8" s="1" t="str">
        <f>"COMMENT ON COLUMN " &amp; C3 &amp; "." &amp; C8 &amp; " IS '" &amp; B8 &amp; "'"</f>
        <v>COMMENT ON COLUMN BIN.LINE_CODE IS '라인코드'</v>
      </c>
      <c r="X8" s="13" t="s">
        <v>771</v>
      </c>
    </row>
    <row r="9" spans="1:24" x14ac:dyDescent="0.3">
      <c r="A9" s="2"/>
      <c r="B9" s="2" t="s">
        <v>100</v>
      </c>
      <c r="C9" s="2" t="s">
        <v>267</v>
      </c>
      <c r="D9" s="2" t="s">
        <v>191</v>
      </c>
      <c r="E9" s="2" t="s">
        <v>618</v>
      </c>
      <c r="F9" s="2">
        <v>10</v>
      </c>
      <c r="G9" s="2" t="s">
        <v>122</v>
      </c>
      <c r="H9" s="2"/>
      <c r="I9" s="1"/>
      <c r="J9" s="1" t="str">
        <f>""&amp;C9&amp;""</f>
        <v>SCALE_CODE</v>
      </c>
      <c r="K9" s="1" t="str">
        <f>""&amp;E9&amp;""</f>
        <v>NVARCHAR2</v>
      </c>
      <c r="L9" s="1" t="str">
        <f>IF(F9="","","(")</f>
        <v>(</v>
      </c>
      <c r="M9" s="1">
        <f>IF(F9="","",F9)</f>
        <v>10</v>
      </c>
      <c r="N9" s="1" t="str">
        <f>IF(F9="","",")")</f>
        <v>)</v>
      </c>
      <c r="O9" s="1" t="str">
        <f>IF(G9="N","NOT NULL","NULL")</f>
        <v>NULL</v>
      </c>
      <c r="P9" s="1" t="str">
        <f>IF(H9&lt;&gt;"","DEFAULT "&amp;H9,"")</f>
        <v/>
      </c>
      <c r="Q9" s="1" t="s">
        <v>113</v>
      </c>
      <c r="R9" s="1"/>
      <c r="S9" s="1" t="str">
        <f>"COMMENT ON COLUMN " &amp; C3 &amp; "." &amp; C9 &amp; " IS '" &amp; B9 &amp; "'"</f>
        <v>COMMENT ON COLUMN BIN.SCALE_CODE IS '스케일'</v>
      </c>
      <c r="X9" s="13" t="s">
        <v>771</v>
      </c>
    </row>
    <row r="10" spans="1:24" x14ac:dyDescent="0.3">
      <c r="A10" s="2" t="s">
        <v>122</v>
      </c>
      <c r="B10" s="2" t="s">
        <v>82</v>
      </c>
      <c r="C10" s="2" t="s">
        <v>171</v>
      </c>
      <c r="D10" s="2" t="s">
        <v>132</v>
      </c>
      <c r="E10" s="2" t="s">
        <v>618</v>
      </c>
      <c r="F10" s="2">
        <v>10</v>
      </c>
      <c r="G10" s="2" t="s">
        <v>90</v>
      </c>
      <c r="H10" s="2"/>
      <c r="I10" s="1"/>
      <c r="J10" s="1" t="str">
        <f t="shared" si="0"/>
        <v>BIN_TYPE</v>
      </c>
      <c r="K10" s="1" t="str">
        <f t="shared" si="1"/>
        <v>NVARCHAR2</v>
      </c>
      <c r="L10" s="1" t="str">
        <f t="shared" si="2"/>
        <v>(</v>
      </c>
      <c r="M10" s="1">
        <f t="shared" si="3"/>
        <v>10</v>
      </c>
      <c r="N10" s="1" t="str">
        <f t="shared" si="4"/>
        <v>)</v>
      </c>
      <c r="O10" s="1" t="str">
        <f t="shared" si="5"/>
        <v>NOT NULL</v>
      </c>
      <c r="P10" s="1" t="str">
        <f t="shared" si="6"/>
        <v/>
      </c>
      <c r="Q10" s="1" t="s">
        <v>113</v>
      </c>
      <c r="R10" s="1"/>
      <c r="S10" s="1" t="str">
        <f>"COMMENT ON COLUMN " &amp; C3 &amp; "." &amp; C10 &amp; " IS '" &amp; B10 &amp; "'"</f>
        <v>COMMENT ON COLUMN BIN.BIN_TYPE IS '빈종류'</v>
      </c>
      <c r="X10" s="13" t="s">
        <v>771</v>
      </c>
    </row>
    <row r="11" spans="1:24" x14ac:dyDescent="0.3">
      <c r="A11" s="2" t="s">
        <v>122</v>
      </c>
      <c r="B11" s="2" t="s">
        <v>81</v>
      </c>
      <c r="C11" s="2" t="s">
        <v>173</v>
      </c>
      <c r="D11" s="2" t="s">
        <v>81</v>
      </c>
      <c r="E11" s="2" t="s">
        <v>618</v>
      </c>
      <c r="F11" s="2">
        <v>10</v>
      </c>
      <c r="G11" s="2" t="s">
        <v>90</v>
      </c>
      <c r="H11" s="2"/>
      <c r="I11" s="1"/>
      <c r="J11" s="1" t="str">
        <f t="shared" si="0"/>
        <v>BIN_CODE</v>
      </c>
      <c r="K11" s="1" t="str">
        <f t="shared" si="1"/>
        <v>NVARCHAR2</v>
      </c>
      <c r="L11" s="1" t="str">
        <f t="shared" si="2"/>
        <v>(</v>
      </c>
      <c r="M11" s="1">
        <f t="shared" si="3"/>
        <v>10</v>
      </c>
      <c r="N11" s="1" t="str">
        <f t="shared" si="4"/>
        <v>)</v>
      </c>
      <c r="O11" s="1" t="str">
        <f t="shared" si="5"/>
        <v>NOT NULL</v>
      </c>
      <c r="P11" s="1" t="str">
        <f t="shared" si="6"/>
        <v/>
      </c>
      <c r="Q11" s="1" t="s">
        <v>113</v>
      </c>
      <c r="R11" s="1"/>
      <c r="S11" s="1" t="str">
        <f>"COMMENT ON COLUMN " &amp; C3 &amp; "." &amp; C11 &amp; " IS '" &amp; B11 &amp; "'"</f>
        <v>COMMENT ON COLUMN BIN.BIN_CODE IS '빈번호'</v>
      </c>
      <c r="X11" s="13" t="s">
        <v>771</v>
      </c>
    </row>
    <row r="12" spans="1:24" x14ac:dyDescent="0.3">
      <c r="A12" s="2"/>
      <c r="B12" s="2" t="s">
        <v>78</v>
      </c>
      <c r="C12" s="2" t="s">
        <v>168</v>
      </c>
      <c r="D12" s="2" t="s">
        <v>78</v>
      </c>
      <c r="E12" s="2" t="s">
        <v>618</v>
      </c>
      <c r="F12" s="2">
        <v>20</v>
      </c>
      <c r="G12" s="2" t="s">
        <v>90</v>
      </c>
      <c r="H12" s="2"/>
      <c r="I12" s="1"/>
      <c r="J12" s="1" t="str">
        <f t="shared" si="0"/>
        <v>BIN_NAME</v>
      </c>
      <c r="K12" s="1" t="str">
        <f t="shared" si="1"/>
        <v>NVARCHAR2</v>
      </c>
      <c r="L12" s="1" t="str">
        <f t="shared" si="2"/>
        <v>(</v>
      </c>
      <c r="M12" s="1">
        <f t="shared" si="3"/>
        <v>20</v>
      </c>
      <c r="N12" s="1" t="str">
        <f t="shared" si="4"/>
        <v>)</v>
      </c>
      <c r="O12" s="1" t="str">
        <f t="shared" si="5"/>
        <v>NOT NULL</v>
      </c>
      <c r="P12" s="1" t="str">
        <f t="shared" si="6"/>
        <v/>
      </c>
      <c r="Q12" s="1" t="s">
        <v>113</v>
      </c>
      <c r="R12" s="1"/>
      <c r="S12" s="1" t="str">
        <f>"COMMENT ON COLUMN " &amp; C3 &amp; "." &amp; C12 &amp; " IS '" &amp; B12 &amp; "'"</f>
        <v>COMMENT ON COLUMN BIN.BIN_NAME IS '빈명'</v>
      </c>
      <c r="X12" s="13" t="s">
        <v>771</v>
      </c>
    </row>
    <row r="13" spans="1:24" x14ac:dyDescent="0.3">
      <c r="A13" s="2"/>
      <c r="B13" s="2" t="s">
        <v>77</v>
      </c>
      <c r="C13" s="2" t="s">
        <v>260</v>
      </c>
      <c r="D13" s="2" t="s">
        <v>77</v>
      </c>
      <c r="E13" s="2" t="s">
        <v>545</v>
      </c>
      <c r="F13" s="2">
        <v>3</v>
      </c>
      <c r="G13" s="2" t="s">
        <v>122</v>
      </c>
      <c r="H13" s="2"/>
      <c r="I13" s="1"/>
      <c r="J13" s="1" t="str">
        <f t="shared" si="0"/>
        <v>BIN_SEQ</v>
      </c>
      <c r="K13" s="1" t="str">
        <f t="shared" si="1"/>
        <v>NUMBER</v>
      </c>
      <c r="L13" s="1" t="str">
        <f t="shared" si="2"/>
        <v>(</v>
      </c>
      <c r="M13" s="1">
        <f t="shared" si="3"/>
        <v>3</v>
      </c>
      <c r="N13" s="1" t="str">
        <f t="shared" si="4"/>
        <v>)</v>
      </c>
      <c r="O13" s="1" t="str">
        <f t="shared" si="5"/>
        <v>NULL</v>
      </c>
      <c r="P13" s="1" t="str">
        <f t="shared" si="6"/>
        <v/>
      </c>
      <c r="Q13" s="1" t="s">
        <v>113</v>
      </c>
      <c r="R13" s="1"/>
      <c r="S13" s="1" t="str">
        <f>"COMMENT ON COLUMN " &amp; C3 &amp; "." &amp; C13 &amp; " IS '" &amp; B13 &amp; "'"</f>
        <v>COMMENT ON COLUMN BIN.BIN_SEQ IS '빈순서'</v>
      </c>
      <c r="X13" s="13" t="s">
        <v>771</v>
      </c>
    </row>
    <row r="14" spans="1:24" x14ac:dyDescent="0.3">
      <c r="A14" s="2"/>
      <c r="B14" s="2" t="s">
        <v>255</v>
      </c>
      <c r="C14" s="2" t="s">
        <v>189</v>
      </c>
      <c r="D14" s="2" t="s">
        <v>184</v>
      </c>
      <c r="E14" s="2" t="s">
        <v>618</v>
      </c>
      <c r="F14" s="2">
        <v>20</v>
      </c>
      <c r="G14" s="2" t="s">
        <v>122</v>
      </c>
      <c r="H14" s="2"/>
      <c r="I14" s="1"/>
      <c r="J14" s="1" t="str">
        <f t="shared" si="0"/>
        <v>MATERIALCODE</v>
      </c>
      <c r="K14" s="1" t="str">
        <f t="shared" si="1"/>
        <v>NVARCHAR2</v>
      </c>
      <c r="L14" s="1" t="str">
        <f t="shared" si="2"/>
        <v>(</v>
      </c>
      <c r="M14" s="1">
        <f t="shared" si="3"/>
        <v>20</v>
      </c>
      <c r="N14" s="1" t="str">
        <f t="shared" si="4"/>
        <v>)</v>
      </c>
      <c r="O14" s="1" t="str">
        <f t="shared" si="5"/>
        <v>NULL</v>
      </c>
      <c r="P14" s="1" t="str">
        <f t="shared" si="6"/>
        <v/>
      </c>
      <c r="Q14" s="1" t="s">
        <v>113</v>
      </c>
      <c r="R14" s="1"/>
      <c r="S14" s="1" t="str">
        <f>"COMMENT ON COLUMN " &amp; C3 &amp; "." &amp; C14 &amp; " IS '" &amp; B14 &amp; "'"</f>
        <v>COMMENT ON COLUMN BIN.MATERIALCODE IS '원료코드'</v>
      </c>
      <c r="X14" s="13" t="s">
        <v>771</v>
      </c>
    </row>
    <row r="15" spans="1:24" x14ac:dyDescent="0.3">
      <c r="A15" s="2"/>
      <c r="B15" s="2" t="s">
        <v>221</v>
      </c>
      <c r="C15" s="2" t="s">
        <v>165</v>
      </c>
      <c r="D15" s="2" t="s">
        <v>221</v>
      </c>
      <c r="E15" s="2" t="s">
        <v>545</v>
      </c>
      <c r="F15" s="2" t="s">
        <v>655</v>
      </c>
      <c r="G15" s="2" t="s">
        <v>122</v>
      </c>
      <c r="H15" s="2"/>
      <c r="I15" s="1"/>
      <c r="J15" s="1" t="str">
        <f t="shared" si="0"/>
        <v>HIGH_CAPA</v>
      </c>
      <c r="K15" s="1" t="str">
        <f t="shared" si="1"/>
        <v>NUMBER</v>
      </c>
      <c r="L15" s="1" t="str">
        <f t="shared" si="2"/>
        <v>(</v>
      </c>
      <c r="M15" s="1" t="str">
        <f t="shared" si="3"/>
        <v>10,3</v>
      </c>
      <c r="N15" s="1" t="str">
        <f t="shared" si="4"/>
        <v>)</v>
      </c>
      <c r="O15" s="1" t="str">
        <f t="shared" si="5"/>
        <v>NULL</v>
      </c>
      <c r="P15" s="1" t="str">
        <f t="shared" si="6"/>
        <v/>
      </c>
      <c r="Q15" s="1" t="s">
        <v>113</v>
      </c>
      <c r="R15" s="1"/>
      <c r="S15" s="1" t="str">
        <f>"COMMENT ON COLUMN " &amp; C3 &amp; "." &amp; C15 &amp; " IS '" &amp; B15 &amp; "'"</f>
        <v>COMMENT ON COLUMN BIN.HIGH_CAPA IS 'HIGH 용량'</v>
      </c>
      <c r="X15" s="13" t="s">
        <v>771</v>
      </c>
    </row>
    <row r="16" spans="1:24" x14ac:dyDescent="0.3">
      <c r="A16" s="2"/>
      <c r="B16" s="2" t="s">
        <v>203</v>
      </c>
      <c r="C16" s="2" t="s">
        <v>234</v>
      </c>
      <c r="D16" s="2" t="s">
        <v>203</v>
      </c>
      <c r="E16" s="2" t="s">
        <v>545</v>
      </c>
      <c r="F16" s="2" t="s">
        <v>655</v>
      </c>
      <c r="G16" s="2" t="s">
        <v>122</v>
      </c>
      <c r="H16" s="2"/>
      <c r="I16" s="1"/>
      <c r="J16" s="1" t="str">
        <f t="shared" si="0"/>
        <v>LO_CAPA</v>
      </c>
      <c r="K16" s="1" t="str">
        <f t="shared" si="1"/>
        <v>NUMBER</v>
      </c>
      <c r="L16" s="1" t="str">
        <f t="shared" si="2"/>
        <v>(</v>
      </c>
      <c r="M16" s="1" t="str">
        <f t="shared" si="3"/>
        <v>10,3</v>
      </c>
      <c r="N16" s="1" t="str">
        <f t="shared" si="4"/>
        <v>)</v>
      </c>
      <c r="O16" s="1" t="str">
        <f t="shared" si="5"/>
        <v>NULL</v>
      </c>
      <c r="P16" s="1" t="str">
        <f t="shared" si="6"/>
        <v/>
      </c>
      <c r="Q16" s="1" t="s">
        <v>113</v>
      </c>
      <c r="R16" s="1"/>
      <c r="S16" s="1" t="str">
        <f>"COMMENT ON COLUMN " &amp; C3 &amp; "." &amp; C16 &amp; " IS '" &amp; B16 &amp; "'"</f>
        <v>COMMENT ON COLUMN BIN.LO_CAPA IS 'LOW 용량'</v>
      </c>
      <c r="X16" s="13" t="s">
        <v>771</v>
      </c>
    </row>
    <row r="17" spans="1:24" x14ac:dyDescent="0.3">
      <c r="A17" s="2"/>
      <c r="B17" s="2" t="s">
        <v>223</v>
      </c>
      <c r="C17" s="2" t="s">
        <v>268</v>
      </c>
      <c r="D17" s="2" t="s">
        <v>216</v>
      </c>
      <c r="E17" s="2" t="s">
        <v>545</v>
      </c>
      <c r="F17" s="2" t="s">
        <v>655</v>
      </c>
      <c r="G17" s="2" t="s">
        <v>122</v>
      </c>
      <c r="H17" s="2"/>
      <c r="I17" s="1"/>
      <c r="J17" s="1" t="str">
        <f t="shared" si="0"/>
        <v>MAX_CAPA</v>
      </c>
      <c r="K17" s="1" t="str">
        <f t="shared" si="1"/>
        <v>NUMBER</v>
      </c>
      <c r="L17" s="1" t="str">
        <f t="shared" si="2"/>
        <v>(</v>
      </c>
      <c r="M17" s="1" t="str">
        <f t="shared" si="3"/>
        <v>10,3</v>
      </c>
      <c r="N17" s="1" t="str">
        <f t="shared" si="4"/>
        <v>)</v>
      </c>
      <c r="O17" s="1" t="str">
        <f t="shared" si="5"/>
        <v>NULL</v>
      </c>
      <c r="P17" s="1" t="str">
        <f t="shared" si="6"/>
        <v/>
      </c>
      <c r="Q17" s="1" t="s">
        <v>113</v>
      </c>
      <c r="R17" s="1"/>
      <c r="S17" s="1" t="str">
        <f>"COMMENT ON COLUMN " &amp; C3 &amp; "." &amp; C17 &amp; " IS '" &amp; B17 &amp; "'"</f>
        <v>COMMENT ON COLUMN BIN.MAX_CAPA IS '최대용량'</v>
      </c>
      <c r="X17" s="13" t="s">
        <v>771</v>
      </c>
    </row>
    <row r="18" spans="1:24" x14ac:dyDescent="0.3">
      <c r="A18" s="2"/>
      <c r="B18" s="2" t="s">
        <v>79</v>
      </c>
      <c r="C18" s="2" t="s">
        <v>175</v>
      </c>
      <c r="D18" s="2" t="s">
        <v>79</v>
      </c>
      <c r="E18" s="2" t="s">
        <v>545</v>
      </c>
      <c r="F18" s="2" t="s">
        <v>655</v>
      </c>
      <c r="G18" s="2" t="s">
        <v>122</v>
      </c>
      <c r="H18" s="2"/>
      <c r="I18" s="1"/>
      <c r="J18" s="1" t="str">
        <f t="shared" si="0"/>
        <v>HEAD_DROP</v>
      </c>
      <c r="K18" s="1" t="str">
        <f t="shared" si="1"/>
        <v>NUMBER</v>
      </c>
      <c r="L18" s="1" t="str">
        <f t="shared" si="2"/>
        <v>(</v>
      </c>
      <c r="M18" s="1" t="str">
        <f t="shared" si="3"/>
        <v>10,3</v>
      </c>
      <c r="N18" s="1" t="str">
        <f t="shared" si="4"/>
        <v>)</v>
      </c>
      <c r="O18" s="1" t="str">
        <f t="shared" si="5"/>
        <v>NULL</v>
      </c>
      <c r="P18" s="1" t="str">
        <f t="shared" si="6"/>
        <v/>
      </c>
      <c r="Q18" s="1" t="s">
        <v>113</v>
      </c>
      <c r="R18" s="1"/>
      <c r="S18" s="1" t="str">
        <f>"COMMENT ON COLUMN " &amp; C3 &amp; "." &amp; C18 &amp; " IS '" &amp; B18 &amp; "'"</f>
        <v>COMMENT ON COLUMN BIN.HEAD_DROP IS '낙차'</v>
      </c>
      <c r="X18" s="13" t="s">
        <v>771</v>
      </c>
    </row>
    <row r="19" spans="1:24" x14ac:dyDescent="0.3">
      <c r="A19" s="2"/>
      <c r="B19" s="2" t="s">
        <v>238</v>
      </c>
      <c r="C19" s="2" t="s">
        <v>136</v>
      </c>
      <c r="D19" s="2" t="s">
        <v>238</v>
      </c>
      <c r="E19" s="2" t="s">
        <v>545</v>
      </c>
      <c r="F19" s="2" t="s">
        <v>655</v>
      </c>
      <c r="G19" s="2" t="s">
        <v>122</v>
      </c>
      <c r="H19" s="2"/>
      <c r="I19" s="1"/>
      <c r="J19" s="1" t="str">
        <f t="shared" si="0"/>
        <v>LARGE_INPUT_SPEED</v>
      </c>
      <c r="K19" s="1" t="str">
        <f t="shared" si="1"/>
        <v>NUMBER</v>
      </c>
      <c r="L19" s="1" t="str">
        <f t="shared" si="2"/>
        <v>(</v>
      </c>
      <c r="M19" s="1" t="str">
        <f t="shared" si="3"/>
        <v>10,3</v>
      </c>
      <c r="N19" s="1" t="str">
        <f t="shared" si="4"/>
        <v>)</v>
      </c>
      <c r="O19" s="1" t="str">
        <f t="shared" si="5"/>
        <v>NULL</v>
      </c>
      <c r="P19" s="1" t="str">
        <f t="shared" si="6"/>
        <v/>
      </c>
      <c r="Q19" s="1" t="s">
        <v>113</v>
      </c>
      <c r="R19" s="1"/>
      <c r="S19" s="1" t="str">
        <f>"COMMENT ON COLUMN " &amp; C3 &amp; "." &amp; C19 &amp; " IS '" &amp; B19 &amp; "'"</f>
        <v>COMMENT ON COLUMN BIN.LARGE_INPUT_SPEED IS '대투입속도'</v>
      </c>
      <c r="X19" s="13" t="s">
        <v>771</v>
      </c>
    </row>
    <row r="20" spans="1:24" x14ac:dyDescent="0.3">
      <c r="A20" s="2"/>
      <c r="B20" s="2" t="s">
        <v>264</v>
      </c>
      <c r="C20" s="2" t="s">
        <v>135</v>
      </c>
      <c r="D20" s="2" t="s">
        <v>264</v>
      </c>
      <c r="E20" s="2" t="s">
        <v>545</v>
      </c>
      <c r="F20" s="2" t="s">
        <v>655</v>
      </c>
      <c r="G20" s="2" t="s">
        <v>122</v>
      </c>
      <c r="H20" s="2"/>
      <c r="I20" s="1"/>
      <c r="J20" s="1" t="str">
        <f t="shared" si="0"/>
        <v>MEDIUM_INPUT_SPEED</v>
      </c>
      <c r="K20" s="1" t="str">
        <f t="shared" si="1"/>
        <v>NUMBER</v>
      </c>
      <c r="L20" s="1" t="str">
        <f t="shared" si="2"/>
        <v>(</v>
      </c>
      <c r="M20" s="1" t="str">
        <f t="shared" si="3"/>
        <v>10,3</v>
      </c>
      <c r="N20" s="1" t="str">
        <f t="shared" si="4"/>
        <v>)</v>
      </c>
      <c r="O20" s="1" t="str">
        <f t="shared" si="5"/>
        <v>NULL</v>
      </c>
      <c r="P20" s="1" t="str">
        <f t="shared" si="6"/>
        <v/>
      </c>
      <c r="Q20" s="1" t="s">
        <v>113</v>
      </c>
      <c r="R20" s="1"/>
      <c r="S20" s="1" t="str">
        <f>"COMMENT ON COLUMN " &amp; C3 &amp; "." &amp; C20 &amp; " IS '" &amp; B20 &amp; "'"</f>
        <v>COMMENT ON COLUMN BIN.MEDIUM_INPUT_SPEED IS '중투입속도'</v>
      </c>
      <c r="X20" s="13" t="s">
        <v>771</v>
      </c>
    </row>
    <row r="21" spans="1:24" x14ac:dyDescent="0.3">
      <c r="A21" s="2"/>
      <c r="B21" s="2" t="s">
        <v>208</v>
      </c>
      <c r="C21" s="2" t="s">
        <v>137</v>
      </c>
      <c r="D21" s="2" t="s">
        <v>208</v>
      </c>
      <c r="E21" s="2" t="s">
        <v>545</v>
      </c>
      <c r="F21" s="2" t="s">
        <v>655</v>
      </c>
      <c r="G21" s="2" t="s">
        <v>122</v>
      </c>
      <c r="H21" s="2"/>
      <c r="I21" s="1"/>
      <c r="J21" s="1" t="str">
        <f t="shared" si="0"/>
        <v>MEDIUM_INPUT_TIME</v>
      </c>
      <c r="K21" s="1" t="str">
        <f t="shared" si="1"/>
        <v>NUMBER</v>
      </c>
      <c r="L21" s="1" t="str">
        <f t="shared" si="2"/>
        <v>(</v>
      </c>
      <c r="M21" s="1" t="str">
        <f t="shared" si="3"/>
        <v>10,3</v>
      </c>
      <c r="N21" s="1" t="str">
        <f t="shared" si="4"/>
        <v>)</v>
      </c>
      <c r="O21" s="1" t="str">
        <f t="shared" si="5"/>
        <v>NULL</v>
      </c>
      <c r="P21" s="1" t="str">
        <f t="shared" si="6"/>
        <v/>
      </c>
      <c r="Q21" s="1" t="s">
        <v>113</v>
      </c>
      <c r="R21" s="1"/>
      <c r="S21" s="1" t="str">
        <f>"COMMENT ON COLUMN " &amp; C3 &amp; "." &amp; C21 &amp; " IS '" &amp; B21 &amp; "'"</f>
        <v>COMMENT ON COLUMN BIN.MEDIUM_INPUT_TIME IS '중투입시점'</v>
      </c>
      <c r="X21" s="13" t="s">
        <v>771</v>
      </c>
    </row>
    <row r="22" spans="1:24" x14ac:dyDescent="0.3">
      <c r="A22" s="2"/>
      <c r="B22" s="2" t="s">
        <v>251</v>
      </c>
      <c r="C22" s="2" t="s">
        <v>183</v>
      </c>
      <c r="D22" s="2" t="s">
        <v>251</v>
      </c>
      <c r="E22" s="2" t="s">
        <v>545</v>
      </c>
      <c r="F22" s="2" t="s">
        <v>655</v>
      </c>
      <c r="G22" s="2" t="s">
        <v>122</v>
      </c>
      <c r="H22" s="2"/>
      <c r="I22" s="1"/>
      <c r="J22" s="1" t="str">
        <f t="shared" si="0"/>
        <v>MEDIUM_INPUT_ON</v>
      </c>
      <c r="K22" s="1" t="str">
        <f t="shared" si="1"/>
        <v>NUMBER</v>
      </c>
      <c r="L22" s="1" t="str">
        <f t="shared" si="2"/>
        <v>(</v>
      </c>
      <c r="M22" s="1" t="str">
        <f t="shared" si="3"/>
        <v>10,3</v>
      </c>
      <c r="N22" s="1" t="str">
        <f t="shared" si="4"/>
        <v>)</v>
      </c>
      <c r="O22" s="1" t="str">
        <f t="shared" si="5"/>
        <v>NULL</v>
      </c>
      <c r="P22" s="1" t="str">
        <f t="shared" si="6"/>
        <v/>
      </c>
      <c r="Q22" s="1" t="s">
        <v>113</v>
      </c>
      <c r="R22" s="1"/>
      <c r="S22" s="1" t="str">
        <f>"COMMENT ON COLUMN " &amp; C3 &amp; "." &amp; C22 &amp; " IS '" &amp; B22 &amp; "'"</f>
        <v>COMMENT ON COLUMN BIN.MEDIUM_INPUT_ON IS '중투입(ON)'</v>
      </c>
      <c r="X22" s="13" t="s">
        <v>771</v>
      </c>
    </row>
    <row r="23" spans="1:24" x14ac:dyDescent="0.3">
      <c r="A23" s="2"/>
      <c r="B23" s="2" t="s">
        <v>142</v>
      </c>
      <c r="C23" s="2" t="s">
        <v>130</v>
      </c>
      <c r="D23" s="2" t="s">
        <v>142</v>
      </c>
      <c r="E23" s="2" t="s">
        <v>545</v>
      </c>
      <c r="F23" s="2" t="s">
        <v>655</v>
      </c>
      <c r="G23" s="2" t="s">
        <v>122</v>
      </c>
      <c r="H23" s="2"/>
      <c r="I23" s="1"/>
      <c r="J23" s="1" t="str">
        <f t="shared" si="0"/>
        <v>MEDIUM_INPUT_OFF</v>
      </c>
      <c r="K23" s="1" t="str">
        <f t="shared" si="1"/>
        <v>NUMBER</v>
      </c>
      <c r="L23" s="1" t="str">
        <f t="shared" si="2"/>
        <v>(</v>
      </c>
      <c r="M23" s="1" t="str">
        <f t="shared" si="3"/>
        <v>10,3</v>
      </c>
      <c r="N23" s="1" t="str">
        <f t="shared" si="4"/>
        <v>)</v>
      </c>
      <c r="O23" s="1" t="str">
        <f t="shared" si="5"/>
        <v>NULL</v>
      </c>
      <c r="P23" s="1" t="str">
        <f t="shared" si="6"/>
        <v/>
      </c>
      <c r="Q23" s="1" t="s">
        <v>113</v>
      </c>
      <c r="R23" s="1"/>
      <c r="S23" s="1" t="str">
        <f>"COMMENT ON COLUMN " &amp; C3 &amp; "." &amp; C23 &amp; " IS '" &amp; B23 &amp; "'"</f>
        <v>COMMENT ON COLUMN BIN.MEDIUM_INPUT_OFF IS '중투입(OFF)'</v>
      </c>
      <c r="X23" s="13" t="s">
        <v>771</v>
      </c>
    </row>
    <row r="24" spans="1:24" x14ac:dyDescent="0.3">
      <c r="A24" s="2"/>
      <c r="B24" s="2" t="s">
        <v>266</v>
      </c>
      <c r="C24" s="2" t="s">
        <v>133</v>
      </c>
      <c r="D24" s="2" t="s">
        <v>266</v>
      </c>
      <c r="E24" s="2" t="s">
        <v>545</v>
      </c>
      <c r="F24" s="2" t="s">
        <v>655</v>
      </c>
      <c r="G24" s="2" t="s">
        <v>122</v>
      </c>
      <c r="H24" s="2"/>
      <c r="I24" s="1"/>
      <c r="J24" s="1" t="str">
        <f t="shared" si="0"/>
        <v>SMALL_INPUT_SPEED</v>
      </c>
      <c r="K24" s="1" t="str">
        <f t="shared" si="1"/>
        <v>NUMBER</v>
      </c>
      <c r="L24" s="1" t="str">
        <f t="shared" si="2"/>
        <v>(</v>
      </c>
      <c r="M24" s="1" t="str">
        <f t="shared" si="3"/>
        <v>10,3</v>
      </c>
      <c r="N24" s="1" t="str">
        <f t="shared" si="4"/>
        <v>)</v>
      </c>
      <c r="O24" s="1" t="str">
        <f t="shared" si="5"/>
        <v>NULL</v>
      </c>
      <c r="P24" s="1" t="str">
        <f t="shared" si="6"/>
        <v/>
      </c>
      <c r="Q24" s="1" t="s">
        <v>113</v>
      </c>
      <c r="R24" s="1"/>
      <c r="S24" s="1" t="str">
        <f>"COMMENT ON COLUMN " &amp; C3 &amp; "." &amp; C24 &amp; " IS '" &amp; B24 &amp; "'"</f>
        <v>COMMENT ON COLUMN BIN.SMALL_INPUT_SPEED IS '소투입속도'</v>
      </c>
      <c r="X24" s="13" t="s">
        <v>771</v>
      </c>
    </row>
    <row r="25" spans="1:24" x14ac:dyDescent="0.3">
      <c r="A25" s="2"/>
      <c r="B25" s="2" t="s">
        <v>212</v>
      </c>
      <c r="C25" s="2" t="s">
        <v>128</v>
      </c>
      <c r="D25" s="2" t="s">
        <v>212</v>
      </c>
      <c r="E25" s="2" t="s">
        <v>545</v>
      </c>
      <c r="F25" s="2" t="s">
        <v>655</v>
      </c>
      <c r="G25" s="2" t="s">
        <v>122</v>
      </c>
      <c r="H25" s="2"/>
      <c r="I25" s="1"/>
      <c r="J25" s="1" t="str">
        <f t="shared" si="0"/>
        <v>SMALL_INPUT_TIME</v>
      </c>
      <c r="K25" s="1" t="str">
        <f t="shared" si="1"/>
        <v>NUMBER</v>
      </c>
      <c r="L25" s="1" t="str">
        <f t="shared" si="2"/>
        <v>(</v>
      </c>
      <c r="M25" s="1" t="str">
        <f t="shared" si="3"/>
        <v>10,3</v>
      </c>
      <c r="N25" s="1" t="str">
        <f t="shared" si="4"/>
        <v>)</v>
      </c>
      <c r="O25" s="1" t="str">
        <f t="shared" si="5"/>
        <v>NULL</v>
      </c>
      <c r="P25" s="1" t="str">
        <f t="shared" si="6"/>
        <v/>
      </c>
      <c r="Q25" s="1" t="s">
        <v>113</v>
      </c>
      <c r="R25" s="1"/>
      <c r="S25" s="1" t="str">
        <f>"COMMENT ON COLUMN " &amp; C3 &amp; "." &amp; C25 &amp; " IS '" &amp; B25 &amp; "'"</f>
        <v>COMMENT ON COLUMN BIN.SMALL_INPUT_TIME IS '소투입시점'</v>
      </c>
      <c r="X25" s="13" t="s">
        <v>771</v>
      </c>
    </row>
    <row r="26" spans="1:24" x14ac:dyDescent="0.3">
      <c r="A26" s="2"/>
      <c r="B26" s="2" t="s">
        <v>213</v>
      </c>
      <c r="C26" s="2" t="s">
        <v>195</v>
      </c>
      <c r="D26" s="2" t="s">
        <v>213</v>
      </c>
      <c r="E26" s="2" t="s">
        <v>545</v>
      </c>
      <c r="F26" s="2" t="s">
        <v>655</v>
      </c>
      <c r="G26" s="2" t="s">
        <v>122</v>
      </c>
      <c r="H26" s="2"/>
      <c r="I26" s="1"/>
      <c r="J26" s="1" t="str">
        <f t="shared" si="0"/>
        <v>SMALL_INPUT_ON</v>
      </c>
      <c r="K26" s="1" t="str">
        <f t="shared" si="1"/>
        <v>NUMBER</v>
      </c>
      <c r="L26" s="1" t="str">
        <f t="shared" si="2"/>
        <v>(</v>
      </c>
      <c r="M26" s="1" t="str">
        <f t="shared" si="3"/>
        <v>10,3</v>
      </c>
      <c r="N26" s="1" t="str">
        <f t="shared" si="4"/>
        <v>)</v>
      </c>
      <c r="O26" s="1" t="str">
        <f t="shared" si="5"/>
        <v>NULL</v>
      </c>
      <c r="P26" s="1" t="str">
        <f t="shared" si="6"/>
        <v/>
      </c>
      <c r="Q26" s="1" t="s">
        <v>113</v>
      </c>
      <c r="R26" s="1"/>
      <c r="S26" s="1" t="str">
        <f>"COMMENT ON COLUMN " &amp; C3 &amp; "." &amp; C26 &amp; " IS '" &amp; B26 &amp; "'"</f>
        <v>COMMENT ON COLUMN BIN.SMALL_INPUT_ON IS '소투입(ON)'</v>
      </c>
      <c r="X26" s="13" t="s">
        <v>771</v>
      </c>
    </row>
    <row r="27" spans="1:24" x14ac:dyDescent="0.3">
      <c r="A27" s="2"/>
      <c r="B27" s="2" t="s">
        <v>140</v>
      </c>
      <c r="C27" s="2" t="s">
        <v>194</v>
      </c>
      <c r="D27" s="2" t="s">
        <v>140</v>
      </c>
      <c r="E27" s="2" t="s">
        <v>546</v>
      </c>
      <c r="F27" s="2" t="s">
        <v>655</v>
      </c>
      <c r="G27" s="2" t="s">
        <v>122</v>
      </c>
      <c r="H27" s="2"/>
      <c r="I27" s="1"/>
      <c r="J27" s="1" t="str">
        <f t="shared" si="0"/>
        <v>SMALL_INPUT_OFF</v>
      </c>
      <c r="K27" s="1" t="str">
        <f t="shared" si="1"/>
        <v>NUMBER</v>
      </c>
      <c r="L27" s="1" t="str">
        <f t="shared" si="2"/>
        <v>(</v>
      </c>
      <c r="M27" s="1" t="str">
        <f t="shared" si="3"/>
        <v>10,3</v>
      </c>
      <c r="N27" s="1" t="str">
        <f t="shared" si="4"/>
        <v>)</v>
      </c>
      <c r="O27" s="1" t="str">
        <f t="shared" si="5"/>
        <v>NULL</v>
      </c>
      <c r="P27" s="1" t="str">
        <f t="shared" si="6"/>
        <v/>
      </c>
      <c r="Q27" s="1" t="s">
        <v>113</v>
      </c>
      <c r="R27" s="1"/>
      <c r="S27" s="1" t="str">
        <f>"COMMENT ON COLUMN " &amp; C3 &amp; "." &amp; C27 &amp; " IS '" &amp; B27 &amp; "'"</f>
        <v>COMMENT ON COLUMN BIN.SMALL_INPUT_OFF IS '소투입(OFF)'</v>
      </c>
      <c r="X27" s="13" t="s">
        <v>771</v>
      </c>
    </row>
    <row r="28" spans="1:24" x14ac:dyDescent="0.3">
      <c r="A28" s="2"/>
      <c r="B28" s="18" t="s">
        <v>656</v>
      </c>
      <c r="C28" s="2" t="s">
        <v>657</v>
      </c>
      <c r="D28" s="2" t="s">
        <v>92</v>
      </c>
      <c r="E28" s="2" t="s">
        <v>546</v>
      </c>
      <c r="F28" s="2" t="s">
        <v>655</v>
      </c>
      <c r="G28" s="2" t="s">
        <v>122</v>
      </c>
      <c r="H28" s="2"/>
      <c r="I28" s="1"/>
      <c r="J28" s="1" t="str">
        <f t="shared" si="0"/>
        <v>PLUS_DEV</v>
      </c>
      <c r="K28" s="1" t="str">
        <f t="shared" si="1"/>
        <v>NUMBER</v>
      </c>
      <c r="L28" s="1" t="str">
        <f t="shared" si="2"/>
        <v>(</v>
      </c>
      <c r="M28" s="1" t="str">
        <f t="shared" si="3"/>
        <v>10,3</v>
      </c>
      <c r="N28" s="1" t="str">
        <f t="shared" si="4"/>
        <v>)</v>
      </c>
      <c r="O28" s="1" t="str">
        <f t="shared" si="5"/>
        <v>NULL</v>
      </c>
      <c r="P28" s="1" t="str">
        <f t="shared" si="6"/>
        <v/>
      </c>
      <c r="Q28" s="1" t="s">
        <v>113</v>
      </c>
      <c r="R28" s="1"/>
      <c r="S28" s="1" t="str">
        <f>"COMMENT ON COLUMN " &amp; C3 &amp; "." &amp; C28 &amp; " IS '" &amp; B28 &amp; "'"</f>
        <v>COMMENT ON COLUMN BIN.PLUS_DEV IS '+편차'</v>
      </c>
      <c r="X28" s="13" t="s">
        <v>771</v>
      </c>
    </row>
    <row r="29" spans="1:24" x14ac:dyDescent="0.3">
      <c r="A29" s="2"/>
      <c r="B29" s="18" t="s">
        <v>658</v>
      </c>
      <c r="C29" s="2" t="s">
        <v>659</v>
      </c>
      <c r="D29" s="2" t="s">
        <v>92</v>
      </c>
      <c r="E29" s="2" t="s">
        <v>546</v>
      </c>
      <c r="F29" s="2" t="s">
        <v>655</v>
      </c>
      <c r="G29" s="2" t="s">
        <v>122</v>
      </c>
      <c r="H29" s="2"/>
      <c r="I29" s="1"/>
      <c r="J29" s="1" t="str">
        <f t="shared" si="0"/>
        <v>MINUS_DEV</v>
      </c>
      <c r="K29" s="1" t="str">
        <f t="shared" si="1"/>
        <v>NUMBER</v>
      </c>
      <c r="L29" s="1" t="str">
        <f t="shared" si="2"/>
        <v>(</v>
      </c>
      <c r="M29" s="1" t="str">
        <f t="shared" si="3"/>
        <v>10,3</v>
      </c>
      <c r="N29" s="1" t="str">
        <f t="shared" si="4"/>
        <v>)</v>
      </c>
      <c r="O29" s="1" t="str">
        <f t="shared" si="5"/>
        <v>NULL</v>
      </c>
      <c r="P29" s="1" t="str">
        <f t="shared" si="6"/>
        <v/>
      </c>
      <c r="Q29" s="1" t="s">
        <v>113</v>
      </c>
      <c r="R29" s="1"/>
      <c r="S29" s="1" t="str">
        <f>"COMMENT ON COLUMN " &amp; C3 &amp; "." &amp; C29 &amp; " IS '" &amp; B29 &amp; "'"</f>
        <v>COMMENT ON COLUMN BIN.MINUS_DEV IS '-편차'</v>
      </c>
      <c r="X29" s="13" t="s">
        <v>771</v>
      </c>
    </row>
    <row r="30" spans="1:24" x14ac:dyDescent="0.3">
      <c r="A30" s="2"/>
      <c r="B30" s="2" t="s">
        <v>86</v>
      </c>
      <c r="C30" s="2" t="s">
        <v>258</v>
      </c>
      <c r="D30" s="2" t="s">
        <v>86</v>
      </c>
      <c r="E30" s="2" t="s">
        <v>546</v>
      </c>
      <c r="F30" s="2" t="s">
        <v>655</v>
      </c>
      <c r="G30" s="2" t="s">
        <v>122</v>
      </c>
      <c r="H30" s="2"/>
      <c r="I30" s="1"/>
      <c r="J30" s="1" t="str">
        <f t="shared" si="0"/>
        <v>STOCK</v>
      </c>
      <c r="K30" s="1" t="str">
        <f t="shared" si="1"/>
        <v>NUMBER</v>
      </c>
      <c r="L30" s="1" t="str">
        <f t="shared" si="2"/>
        <v>(</v>
      </c>
      <c r="M30" s="1" t="str">
        <f t="shared" si="3"/>
        <v>10,3</v>
      </c>
      <c r="N30" s="1" t="str">
        <f t="shared" si="4"/>
        <v>)</v>
      </c>
      <c r="O30" s="1" t="str">
        <f t="shared" si="5"/>
        <v>NULL</v>
      </c>
      <c r="P30" s="1" t="str">
        <f t="shared" si="6"/>
        <v/>
      </c>
      <c r="Q30" s="1" t="s">
        <v>113</v>
      </c>
      <c r="R30" s="1"/>
      <c r="S30" s="1" t="str">
        <f>"COMMENT ON COLUMN " &amp; C3 &amp; "." &amp; C30 &amp; " IS '" &amp; B30 &amp; "'"</f>
        <v>COMMENT ON COLUMN BIN.STOCK IS '재고'</v>
      </c>
      <c r="X30" s="13" t="s">
        <v>771</v>
      </c>
    </row>
    <row r="31" spans="1:24" x14ac:dyDescent="0.3">
      <c r="A31" s="2"/>
      <c r="B31" s="2" t="s">
        <v>235</v>
      </c>
      <c r="C31" s="2" t="s">
        <v>167</v>
      </c>
      <c r="D31" s="2" t="s">
        <v>235</v>
      </c>
      <c r="E31" s="2" t="s">
        <v>545</v>
      </c>
      <c r="F31" s="2">
        <v>3</v>
      </c>
      <c r="G31" s="2" t="s">
        <v>122</v>
      </c>
      <c r="H31" s="2"/>
      <c r="I31" s="1"/>
      <c r="J31" s="1" t="str">
        <f t="shared" si="0"/>
        <v>JOG_ON_TIME</v>
      </c>
      <c r="K31" s="1" t="str">
        <f t="shared" si="1"/>
        <v>NUMBER</v>
      </c>
      <c r="L31" s="1" t="str">
        <f t="shared" si="2"/>
        <v>(</v>
      </c>
      <c r="M31" s="1">
        <f t="shared" si="3"/>
        <v>3</v>
      </c>
      <c r="N31" s="1" t="str">
        <f t="shared" si="4"/>
        <v>)</v>
      </c>
      <c r="O31" s="1" t="str">
        <f t="shared" si="5"/>
        <v>NULL</v>
      </c>
      <c r="P31" s="1" t="str">
        <f t="shared" si="6"/>
        <v/>
      </c>
      <c r="Q31" s="1" t="s">
        <v>113</v>
      </c>
      <c r="R31" s="1"/>
      <c r="S31" s="1" t="str">
        <f>"COMMENT ON COLUMN " &amp; C3 &amp; "." &amp; C31 &amp; " IS '" &amp; B31 &amp; "'"</f>
        <v>COMMENT ON COLUMN BIN.JOG_ON_TIME IS '조깅시간'</v>
      </c>
      <c r="X31" s="13" t="s">
        <v>771</v>
      </c>
    </row>
    <row r="32" spans="1:24" x14ac:dyDescent="0.3">
      <c r="A32" s="2"/>
      <c r="B32" s="2" t="s">
        <v>211</v>
      </c>
      <c r="C32" s="2" t="s">
        <v>196</v>
      </c>
      <c r="D32" s="2" t="s">
        <v>211</v>
      </c>
      <c r="E32" s="2" t="s">
        <v>545</v>
      </c>
      <c r="F32" s="2">
        <v>3</v>
      </c>
      <c r="G32" s="2" t="s">
        <v>122</v>
      </c>
      <c r="H32" s="2"/>
      <c r="I32" s="1"/>
      <c r="J32" s="1" t="str">
        <f t="shared" si="0"/>
        <v>DROP_SAFE_TIME</v>
      </c>
      <c r="K32" s="1" t="str">
        <f t="shared" si="1"/>
        <v>NUMBER</v>
      </c>
      <c r="L32" s="1" t="str">
        <f t="shared" si="2"/>
        <v>(</v>
      </c>
      <c r="M32" s="1">
        <f t="shared" si="3"/>
        <v>3</v>
      </c>
      <c r="N32" s="1" t="str">
        <f t="shared" si="4"/>
        <v>)</v>
      </c>
      <c r="O32" s="1" t="str">
        <f t="shared" si="5"/>
        <v>NULL</v>
      </c>
      <c r="P32" s="1" t="str">
        <f t="shared" si="6"/>
        <v/>
      </c>
      <c r="Q32" s="1" t="s">
        <v>113</v>
      </c>
      <c r="R32" s="1"/>
      <c r="S32" s="1" t="str">
        <f>"COMMENT ON COLUMN " &amp; C3 &amp; "." &amp; C32 &amp; " IS '" &amp; B32 &amp; "'"</f>
        <v>COMMENT ON COLUMN BIN.DROP_SAFE_TIME IS '낙차안정시간'</v>
      </c>
      <c r="X32" s="13" t="s">
        <v>771</v>
      </c>
    </row>
    <row r="33" spans="1:24" x14ac:dyDescent="0.3">
      <c r="A33" s="2"/>
      <c r="B33" s="12" t="s">
        <v>702</v>
      </c>
      <c r="C33" s="12" t="s">
        <v>701</v>
      </c>
      <c r="D33" s="12" t="s">
        <v>703</v>
      </c>
      <c r="E33" s="12" t="s">
        <v>563</v>
      </c>
      <c r="F33" s="2">
        <v>1</v>
      </c>
      <c r="G33" s="2" t="s">
        <v>122</v>
      </c>
      <c r="H33" s="12" t="s">
        <v>564</v>
      </c>
      <c r="I33" s="1"/>
      <c r="J33" s="1" t="str">
        <f>""&amp;C33&amp;""</f>
        <v>LOCKING</v>
      </c>
      <c r="K33" s="1" t="str">
        <f>""&amp;E33&amp;""</f>
        <v>CHAR</v>
      </c>
      <c r="L33" s="1" t="str">
        <f>IF(F33="","","(")</f>
        <v>(</v>
      </c>
      <c r="M33" s="1">
        <f>IF(F33="","",F33)</f>
        <v>1</v>
      </c>
      <c r="N33" s="1" t="str">
        <f>IF(F33="","",")")</f>
        <v>)</v>
      </c>
      <c r="O33" s="1" t="str">
        <f>IF(G33="N","NOT NULL","NULL")</f>
        <v>NULL</v>
      </c>
      <c r="P33" s="1" t="str">
        <f>IF(H33&lt;&gt;"","DEFAULT "&amp;H33,"")</f>
        <v>DEFAULT N</v>
      </c>
      <c r="Q33" s="1" t="s">
        <v>113</v>
      </c>
      <c r="R33" s="1"/>
      <c r="S33" s="1" t="str">
        <f>"COMMENT ON COLUMN " &amp; C2 &amp; "." &amp; C33 &amp; " IS '" &amp; B33 &amp; "'"</f>
        <v>COMMENT ON COLUMN 영문.LOCKING IS '배합중'</v>
      </c>
      <c r="X33" s="13" t="s">
        <v>771</v>
      </c>
    </row>
    <row r="34" spans="1:24" x14ac:dyDescent="0.3">
      <c r="A34" s="2"/>
      <c r="B34" s="2" t="s">
        <v>210</v>
      </c>
      <c r="C34" s="2" t="s">
        <v>217</v>
      </c>
      <c r="D34" s="2" t="s">
        <v>210</v>
      </c>
      <c r="E34" s="2" t="s">
        <v>618</v>
      </c>
      <c r="F34" s="2">
        <v>1</v>
      </c>
      <c r="G34" s="2" t="s">
        <v>122</v>
      </c>
      <c r="H34" s="12" t="s">
        <v>564</v>
      </c>
      <c r="I34" s="1"/>
      <c r="J34" s="1" t="str">
        <f t="shared" si="0"/>
        <v>USEFLAG</v>
      </c>
      <c r="K34" s="1" t="str">
        <f t="shared" si="1"/>
        <v>NVARCHAR2</v>
      </c>
      <c r="L34" s="1" t="str">
        <f t="shared" si="2"/>
        <v>(</v>
      </c>
      <c r="M34" s="1">
        <f t="shared" si="3"/>
        <v>1</v>
      </c>
      <c r="N34" s="1" t="str">
        <f t="shared" si="4"/>
        <v>)</v>
      </c>
      <c r="O34" s="1" t="str">
        <f t="shared" si="5"/>
        <v>NULL</v>
      </c>
      <c r="P34" s="1" t="str">
        <f t="shared" si="6"/>
        <v>DEFAULT N</v>
      </c>
      <c r="Q34" s="1" t="s">
        <v>113</v>
      </c>
      <c r="R34" s="1"/>
      <c r="S34" s="1" t="str">
        <f>"COMMENT ON COLUMN " &amp; C3 &amp; "." &amp; C34 &amp; " IS '" &amp; B34 &amp; "'"</f>
        <v>COMMENT ON COLUMN BIN.USEFLAG IS '사용여부'</v>
      </c>
      <c r="X34" s="13" t="s">
        <v>771</v>
      </c>
    </row>
    <row r="35" spans="1:24" x14ac:dyDescent="0.3">
      <c r="A35" s="2"/>
      <c r="B35" s="2" t="s">
        <v>111</v>
      </c>
      <c r="C35" s="2" t="s">
        <v>790</v>
      </c>
      <c r="D35" s="2" t="s">
        <v>188</v>
      </c>
      <c r="E35" s="2" t="s">
        <v>618</v>
      </c>
      <c r="F35" s="2">
        <v>20</v>
      </c>
      <c r="G35" s="2" t="s">
        <v>90</v>
      </c>
      <c r="H35" s="18"/>
      <c r="I35" s="1"/>
      <c r="J35" s="1" t="str">
        <f>""&amp;C35&amp;""</f>
        <v>INITBY</v>
      </c>
      <c r="K35" s="1" t="str">
        <f>""&amp;E35&amp;""</f>
        <v>NVARCHAR2</v>
      </c>
      <c r="L35" s="1" t="str">
        <f t="shared" si="2"/>
        <v>(</v>
      </c>
      <c r="M35" s="1">
        <f t="shared" si="3"/>
        <v>20</v>
      </c>
      <c r="N35" s="1" t="str">
        <f t="shared" si="4"/>
        <v>)</v>
      </c>
      <c r="O35" s="1" t="str">
        <f t="shared" si="5"/>
        <v>NOT NULL</v>
      </c>
      <c r="P35" s="1" t="str">
        <f t="shared" si="6"/>
        <v/>
      </c>
      <c r="Q35" s="1" t="s">
        <v>113</v>
      </c>
      <c r="R35" s="1"/>
      <c r="S35" s="1" t="str">
        <f>"COMMENT ON COLUMN " &amp; C3 &amp; "." &amp; C35 &amp; " IS '" &amp; B35 &amp; "'"</f>
        <v>COMMENT ON COLUMN BIN.INITBY IS '입력자'</v>
      </c>
      <c r="X35" s="13" t="s">
        <v>771</v>
      </c>
    </row>
    <row r="36" spans="1:24" x14ac:dyDescent="0.3">
      <c r="A36" s="2"/>
      <c r="B36" s="2" t="s">
        <v>254</v>
      </c>
      <c r="C36" s="2" t="s">
        <v>791</v>
      </c>
      <c r="D36" s="2" t="s">
        <v>254</v>
      </c>
      <c r="E36" s="2" t="s">
        <v>228</v>
      </c>
      <c r="F36" s="2"/>
      <c r="G36" s="2" t="s">
        <v>90</v>
      </c>
      <c r="H36" s="2" t="s">
        <v>570</v>
      </c>
      <c r="I36" s="1"/>
      <c r="J36" s="1" t="str">
        <f>""&amp;C36&amp;""</f>
        <v>INITDTTM</v>
      </c>
      <c r="K36" s="1" t="str">
        <f>""&amp;E36&amp;""</f>
        <v>DATE</v>
      </c>
      <c r="L36" s="1" t="str">
        <f t="shared" si="2"/>
        <v/>
      </c>
      <c r="M36" s="1" t="str">
        <f t="shared" si="3"/>
        <v/>
      </c>
      <c r="N36" s="1" t="str">
        <f t="shared" si="4"/>
        <v/>
      </c>
      <c r="O36" s="1" t="str">
        <f t="shared" si="5"/>
        <v>NOT NULL</v>
      </c>
      <c r="P36" s="1" t="str">
        <f t="shared" si="6"/>
        <v>DEFAULT SYSDATE</v>
      </c>
      <c r="Q36" s="1" t="s">
        <v>113</v>
      </c>
      <c r="R36" s="1"/>
      <c r="S36" s="1" t="str">
        <f>"COMMENT ON COLUMN " &amp; C3 &amp; "." &amp; C36 &amp; " IS '" &amp; B36 &amp; "'"</f>
        <v>COMMENT ON COLUMN BIN.INITDTTM IS '입력일시'</v>
      </c>
      <c r="X36" s="13" t="s">
        <v>771</v>
      </c>
    </row>
    <row r="37" spans="1:24" x14ac:dyDescent="0.3">
      <c r="A37" s="2"/>
      <c r="B37" s="2" t="s">
        <v>99</v>
      </c>
      <c r="C37" s="2" t="s">
        <v>793</v>
      </c>
      <c r="D37" s="2" t="s">
        <v>197</v>
      </c>
      <c r="E37" s="2" t="s">
        <v>618</v>
      </c>
      <c r="F37" s="2">
        <v>20</v>
      </c>
      <c r="G37" s="2" t="s">
        <v>122</v>
      </c>
      <c r="H37" s="18"/>
      <c r="I37" s="1"/>
      <c r="J37" s="1" t="str">
        <f>""&amp;C37&amp;""</f>
        <v>UPBY</v>
      </c>
      <c r="K37" s="1" t="str">
        <f>""&amp;E37&amp;""</f>
        <v>NVARCHAR2</v>
      </c>
      <c r="L37" s="1" t="str">
        <f t="shared" si="2"/>
        <v>(</v>
      </c>
      <c r="M37" s="1">
        <f t="shared" si="3"/>
        <v>20</v>
      </c>
      <c r="N37" s="1" t="str">
        <f t="shared" si="4"/>
        <v>)</v>
      </c>
      <c r="O37" s="1" t="str">
        <f t="shared" si="5"/>
        <v>NULL</v>
      </c>
      <c r="P37" s="1" t="str">
        <f t="shared" si="6"/>
        <v/>
      </c>
      <c r="Q37" s="1" t="s">
        <v>113</v>
      </c>
      <c r="R37" s="1"/>
      <c r="S37" s="1" t="str">
        <f>"COMMENT ON COLUMN " &amp; C3 &amp; "." &amp; C37 &amp; " IS '" &amp; B37 &amp; "'"</f>
        <v>COMMENT ON COLUMN BIN.UPBY IS '수정자'</v>
      </c>
      <c r="X37" s="13" t="s">
        <v>771</v>
      </c>
    </row>
    <row r="38" spans="1:24" x14ac:dyDescent="0.3">
      <c r="A38" s="2"/>
      <c r="B38" s="2" t="s">
        <v>259</v>
      </c>
      <c r="C38" s="2" t="s">
        <v>792</v>
      </c>
      <c r="D38" s="2" t="s">
        <v>259</v>
      </c>
      <c r="E38" s="2" t="s">
        <v>228</v>
      </c>
      <c r="F38" s="2"/>
      <c r="G38" s="2" t="s">
        <v>122</v>
      </c>
      <c r="H38" s="2"/>
      <c r="I38" s="1"/>
      <c r="J38" s="1" t="str">
        <f>""&amp;C38&amp;""</f>
        <v>UPDTTM</v>
      </c>
      <c r="K38" s="1" t="str">
        <f>""&amp;E38&amp;""</f>
        <v>DATE</v>
      </c>
      <c r="L38" s="1" t="str">
        <f t="shared" si="2"/>
        <v/>
      </c>
      <c r="M38" s="1" t="str">
        <f t="shared" si="3"/>
        <v/>
      </c>
      <c r="N38" s="1" t="str">
        <f t="shared" si="4"/>
        <v/>
      </c>
      <c r="O38" s="1" t="str">
        <f t="shared" si="5"/>
        <v>NULL</v>
      </c>
      <c r="P38" s="1" t="str">
        <f t="shared" si="6"/>
        <v/>
      </c>
      <c r="Q38" s="21" t="s">
        <v>723</v>
      </c>
      <c r="R38" s="1"/>
      <c r="S38" s="1" t="str">
        <f>"COMMENT ON COLUMN " &amp; C3 &amp; "." &amp; C38 &amp; " IS '" &amp; B38 &amp; "'"</f>
        <v>COMMENT ON COLUMN BIN.UPDTTM IS '수정일시'</v>
      </c>
      <c r="X38" s="13" t="s">
        <v>771</v>
      </c>
    </row>
    <row r="39" spans="1:24" x14ac:dyDescent="0.3">
      <c r="J39" s="13" t="str">
        <f>"ALTER TABLE "&amp;C3&amp;""</f>
        <v>ALTER TABLE BIN</v>
      </c>
    </row>
    <row r="40" spans="1:24" x14ac:dyDescent="0.3">
      <c r="J40" s="13" t="str" cm="1">
        <f t="array" ref="J40">"ADD CONSTRAINT PK_"&amp;C3&amp;"
PRIMARY KEY (" &amp; _xlfn.TEXTJOIN(", ", TRUE, _xlfn._xlws.FILTER(C6:C77, A6:A77="Y")) &amp; ")"</f>
        <v>ADD CONSTRAINT PK_BIN
PRIMARY KEY (PLANT_CODE, PROCESS_CODE, BIN_TYPE, BIN_CODE)</v>
      </c>
      <c r="R40" s="13" t="s">
        <v>771</v>
      </c>
    </row>
  </sheetData>
  <phoneticPr fontId="7" type="noConversion"/>
  <hyperlinks>
    <hyperlink ref="A1" location="리스트!A1" display="리스트로 이동" xr:uid="{9BABFAA9-A88D-4C40-A46E-94964C72C220}"/>
  </hyperlinks>
  <pageMargins left="0.74805557727813721" right="0.74805557727813721" top="0.98430556058883667" bottom="0.98430556058883667" header="0.51166665554046631" footer="0.51166665554046631"/>
  <pageSetup paperSize="9" fitToWidth="0" fitToHeight="0" orientation="portrait" horizontalDpi="0" verticalDpi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0E075-1DBA-4172-B57C-E06219987660}">
  <dimension ref="A1:S16"/>
  <sheetViews>
    <sheetView zoomScaleNormal="100" zoomScaleSheetLayoutView="100" workbookViewId="0">
      <selection activeCell="J3" sqref="J3:Q3"/>
    </sheetView>
  </sheetViews>
  <sheetFormatPr defaultColWidth="9" defaultRowHeight="16.5" x14ac:dyDescent="0.3"/>
  <cols>
    <col min="1" max="1" width="8.625" bestFit="1" customWidth="1"/>
    <col min="2" max="2" width="13.75" bestFit="1" customWidth="1"/>
    <col min="3" max="3" width="14.125" bestFit="1" customWidth="1"/>
    <col min="4" max="4" width="19.375" bestFit="1" customWidth="1"/>
    <col min="5" max="5" width="12.75" bestFit="1" customWidth="1"/>
    <col min="6" max="6" width="6.75" bestFit="1" customWidth="1"/>
    <col min="7" max="7" width="9" bestFit="1" customWidth="1"/>
    <col min="8" max="8" width="9" customWidth="1"/>
    <col min="10" max="11" width="16.875" customWidth="1"/>
    <col min="12" max="12" width="1.625" bestFit="1" customWidth="1"/>
    <col min="13" max="13" width="3.75" customWidth="1"/>
    <col min="14" max="14" width="1.625" bestFit="1" customWidth="1"/>
    <col min="15" max="15" width="10.125" bestFit="1" customWidth="1"/>
    <col min="16" max="16" width="18.375" bestFit="1" customWidth="1"/>
    <col min="17" max="17" width="10.125" bestFit="1" customWidth="1"/>
    <col min="18" max="18" width="16.875" customWidth="1"/>
  </cols>
  <sheetData>
    <row r="1" spans="1:19" x14ac:dyDescent="0.3">
      <c r="A1" s="16" t="s">
        <v>615</v>
      </c>
    </row>
    <row r="2" spans="1:19" x14ac:dyDescent="0.3">
      <c r="A2" s="2"/>
      <c r="B2" s="2" t="s">
        <v>116</v>
      </c>
      <c r="C2" s="2" t="s">
        <v>119</v>
      </c>
      <c r="D2" s="2" t="s">
        <v>112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3">
      <c r="A3" s="2"/>
      <c r="B3" s="2" t="s">
        <v>566</v>
      </c>
      <c r="C3" s="12" t="s">
        <v>571</v>
      </c>
      <c r="D3" s="2"/>
      <c r="E3" s="1"/>
      <c r="F3" s="1"/>
      <c r="G3" s="1"/>
      <c r="H3" s="1"/>
      <c r="I3" s="1"/>
      <c r="J3" s="13" t="str">
        <f>"DROP TABLE "&amp;C3&amp;" CASCADE CONSTRAINTS PURGE"</f>
        <v>DROP TABLE STOCK_CLOSING CASCADE CONSTRAINTS PURGE</v>
      </c>
      <c r="K3" s="1"/>
      <c r="L3" s="1"/>
      <c r="M3" s="1"/>
      <c r="N3" s="1"/>
      <c r="O3" s="1"/>
      <c r="P3" s="21"/>
      <c r="Q3" s="21" t="s">
        <v>771</v>
      </c>
      <c r="R3" s="1"/>
      <c r="S3" s="1"/>
    </row>
    <row r="4" spans="1:19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3">
      <c r="A5" s="2" t="s">
        <v>88</v>
      </c>
      <c r="B5" s="2" t="s">
        <v>215</v>
      </c>
      <c r="C5" s="2" t="s">
        <v>252</v>
      </c>
      <c r="D5" s="2" t="s">
        <v>169</v>
      </c>
      <c r="E5" s="2" t="s">
        <v>265</v>
      </c>
      <c r="F5" s="2" t="s">
        <v>101</v>
      </c>
      <c r="G5" s="2" t="s">
        <v>205</v>
      </c>
      <c r="H5" s="2" t="s">
        <v>569</v>
      </c>
      <c r="I5" s="1"/>
      <c r="J5" s="1" t="str">
        <f>"CREATE TABLE "&amp;C3&amp;" ("</f>
        <v>CREATE TABLE STOCK_CLOSING (</v>
      </c>
      <c r="K5" s="1"/>
      <c r="L5" s="1"/>
      <c r="M5" s="1"/>
      <c r="N5" s="1"/>
      <c r="O5" s="1"/>
      <c r="P5" s="1"/>
      <c r="Q5" s="1"/>
      <c r="R5" s="1"/>
      <c r="S5" s="1" t="str">
        <f>"COMMENT ON TABLE " &amp; C3 &amp; " IS '" &amp; SUBSTITUTE(B3,"'","''") &amp; "'"</f>
        <v>COMMENT ON TABLE STOCK_CLOSING IS '재고마감'</v>
      </c>
    </row>
    <row r="6" spans="1:19" x14ac:dyDescent="0.3">
      <c r="A6" s="2" t="s">
        <v>565</v>
      </c>
      <c r="B6" s="2" t="s">
        <v>538</v>
      </c>
      <c r="C6" s="14" t="s">
        <v>528</v>
      </c>
      <c r="D6" s="2"/>
      <c r="E6" s="2" t="s">
        <v>618</v>
      </c>
      <c r="F6" s="2">
        <v>20</v>
      </c>
      <c r="G6" s="2" t="s">
        <v>564</v>
      </c>
      <c r="H6" s="2"/>
      <c r="I6" s="1"/>
      <c r="J6" s="1" t="str">
        <f t="shared" ref="J6:J14" si="0">""&amp;C6&amp;""</f>
        <v>PLANT_CODE</v>
      </c>
      <c r="K6" s="1" t="str">
        <f t="shared" ref="K6:K14" si="1">""&amp;E6&amp;""</f>
        <v>NVARCHAR2</v>
      </c>
      <c r="L6" s="1" t="str">
        <f t="shared" ref="L6:L14" si="2">IF(F6="","","(")</f>
        <v>(</v>
      </c>
      <c r="M6" s="1">
        <f t="shared" ref="M6:M14" si="3">IF(F6="","",F6)</f>
        <v>20</v>
      </c>
      <c r="N6" s="1" t="str">
        <f t="shared" ref="N6:N14" si="4">IF(F6="","",")")</f>
        <v>)</v>
      </c>
      <c r="O6" s="1" t="str">
        <f>IF(G6="N","NOT NULL","NULL")</f>
        <v>NOT NULL</v>
      </c>
      <c r="P6" s="1" t="str">
        <f>IF(H6&lt;&gt;"","DEFAULT "&amp;H6,"")</f>
        <v/>
      </c>
      <c r="Q6" s="1" t="s">
        <v>113</v>
      </c>
      <c r="S6" s="1" t="str">
        <f>"COMMENT ON COLUMN " &amp; C3 &amp; "." &amp; C6 &amp; " IS '" &amp; B6 &amp; "'"</f>
        <v>COMMENT ON COLUMN STOCK_CLOSING.PLANT_CODE IS '공장코드'</v>
      </c>
    </row>
    <row r="7" spans="1:19" x14ac:dyDescent="0.3">
      <c r="A7" s="2" t="s">
        <v>565</v>
      </c>
      <c r="B7" s="2" t="s">
        <v>581</v>
      </c>
      <c r="C7" s="2" t="s">
        <v>72</v>
      </c>
      <c r="D7" s="2"/>
      <c r="E7" s="2" t="s">
        <v>618</v>
      </c>
      <c r="F7" s="2">
        <v>20</v>
      </c>
      <c r="G7" s="2" t="s">
        <v>564</v>
      </c>
      <c r="H7" s="2"/>
      <c r="I7" s="1"/>
      <c r="J7" s="1" t="str">
        <f t="shared" si="0"/>
        <v>RESOURCE_NO</v>
      </c>
      <c r="K7" s="1" t="str">
        <f t="shared" si="1"/>
        <v>NVARCHAR2</v>
      </c>
      <c r="L7" s="1" t="str">
        <f t="shared" si="2"/>
        <v>(</v>
      </c>
      <c r="M7" s="1">
        <f t="shared" si="3"/>
        <v>20</v>
      </c>
      <c r="N7" s="1" t="str">
        <f t="shared" si="4"/>
        <v>)</v>
      </c>
      <c r="O7" s="1" t="str">
        <f t="shared" ref="O7:O14" si="5">IF(G7="N","NOT NULL","NULL")</f>
        <v>NOT NULL</v>
      </c>
      <c r="P7" s="1" t="str">
        <f t="shared" ref="P7:P14" si="6">IF(H7&lt;&gt;"","DEFAULT "&amp;H7,"")</f>
        <v/>
      </c>
      <c r="Q7" s="1" t="s">
        <v>113</v>
      </c>
      <c r="R7" s="1"/>
      <c r="S7" s="1" t="str">
        <f>"COMMENT ON COLUMN " &amp; C3 &amp; "." &amp; C7 &amp; " IS '" &amp; B7 &amp; "'"</f>
        <v>COMMENT ON COLUMN STOCK_CLOSING.RESOURCE_NO IS '제품명'</v>
      </c>
    </row>
    <row r="8" spans="1:19" x14ac:dyDescent="0.3">
      <c r="A8" s="2" t="s">
        <v>565</v>
      </c>
      <c r="B8" s="2" t="s">
        <v>588</v>
      </c>
      <c r="C8" s="2" t="s">
        <v>567</v>
      </c>
      <c r="D8" s="2" t="s">
        <v>575</v>
      </c>
      <c r="E8" s="2" t="s">
        <v>618</v>
      </c>
      <c r="F8" s="2">
        <v>6</v>
      </c>
      <c r="G8" s="2" t="s">
        <v>564</v>
      </c>
      <c r="H8" s="2"/>
      <c r="I8" s="1"/>
      <c r="J8" s="1" t="str">
        <f t="shared" si="0"/>
        <v>CLOSE_YYYYMM</v>
      </c>
      <c r="K8" s="1" t="str">
        <f t="shared" si="1"/>
        <v>NVARCHAR2</v>
      </c>
      <c r="L8" s="1" t="str">
        <f t="shared" si="2"/>
        <v>(</v>
      </c>
      <c r="M8" s="1">
        <f t="shared" si="3"/>
        <v>6</v>
      </c>
      <c r="N8" s="1" t="str">
        <f t="shared" si="4"/>
        <v>)</v>
      </c>
      <c r="O8" s="1" t="str">
        <f t="shared" si="5"/>
        <v>NOT NULL</v>
      </c>
      <c r="P8" s="1" t="str">
        <f t="shared" si="6"/>
        <v/>
      </c>
      <c r="Q8" s="1" t="s">
        <v>113</v>
      </c>
      <c r="R8" s="1"/>
      <c r="S8" s="1" t="str">
        <f>"COMMENT ON COLUMN " &amp; C3 &amp; "." &amp; C8 &amp; " IS '" &amp; B8 &amp; "'"</f>
        <v>COMMENT ON COLUMN STOCK_CLOSING.CLOSE_YYYYMM IS '마감연월'</v>
      </c>
    </row>
    <row r="9" spans="1:19" x14ac:dyDescent="0.3">
      <c r="A9" s="2"/>
      <c r="B9" s="2" t="s">
        <v>589</v>
      </c>
      <c r="C9" s="2" t="s">
        <v>568</v>
      </c>
      <c r="D9" s="2"/>
      <c r="E9" s="2" t="s">
        <v>546</v>
      </c>
      <c r="F9" s="2"/>
      <c r="G9" s="2" t="s">
        <v>565</v>
      </c>
      <c r="H9" s="2">
        <v>0</v>
      </c>
      <c r="I9" s="1"/>
      <c r="J9" s="1" t="str">
        <f t="shared" si="0"/>
        <v>CLOSE_QTY</v>
      </c>
      <c r="K9" s="1" t="str">
        <f t="shared" si="1"/>
        <v>NUMBER</v>
      </c>
      <c r="L9" s="1" t="str">
        <f t="shared" si="2"/>
        <v/>
      </c>
      <c r="M9" s="1" t="str">
        <f t="shared" si="3"/>
        <v/>
      </c>
      <c r="N9" s="1" t="str">
        <f t="shared" si="4"/>
        <v/>
      </c>
      <c r="O9" s="1" t="str">
        <f t="shared" si="5"/>
        <v>NULL</v>
      </c>
      <c r="P9" s="1" t="str">
        <f t="shared" si="6"/>
        <v>DEFAULT 0</v>
      </c>
      <c r="Q9" s="1" t="s">
        <v>113</v>
      </c>
      <c r="R9" s="1"/>
      <c r="S9" s="1" t="str">
        <f>"COMMENT ON COLUMN " &amp; C3 &amp; "." &amp; C9 &amp; " IS '" &amp; B9 &amp; "'"</f>
        <v>COMMENT ON COLUMN STOCK_CLOSING.CLOSE_QTY IS '마감수량'</v>
      </c>
    </row>
    <row r="10" spans="1:19" x14ac:dyDescent="0.3">
      <c r="A10" s="2"/>
      <c r="B10" s="2" t="s">
        <v>576</v>
      </c>
      <c r="C10" s="2" t="s">
        <v>536</v>
      </c>
      <c r="D10" s="2" t="s">
        <v>576</v>
      </c>
      <c r="E10" s="2" t="s">
        <v>546</v>
      </c>
      <c r="F10" s="2"/>
      <c r="G10" s="2" t="s">
        <v>565</v>
      </c>
      <c r="H10" s="2"/>
      <c r="I10" s="1"/>
      <c r="J10" s="1" t="str">
        <f t="shared" si="0"/>
        <v>SORT_SEQ</v>
      </c>
      <c r="K10" s="1" t="str">
        <f t="shared" si="1"/>
        <v>NUMBER</v>
      </c>
      <c r="L10" s="1" t="str">
        <f t="shared" si="2"/>
        <v/>
      </c>
      <c r="M10" s="1" t="str">
        <f t="shared" si="3"/>
        <v/>
      </c>
      <c r="N10" s="1" t="str">
        <f t="shared" si="4"/>
        <v/>
      </c>
      <c r="O10" s="1" t="str">
        <f t="shared" si="5"/>
        <v>NULL</v>
      </c>
      <c r="P10" s="1" t="str">
        <f t="shared" si="6"/>
        <v/>
      </c>
      <c r="Q10" s="1" t="s">
        <v>113</v>
      </c>
      <c r="R10" s="1"/>
      <c r="S10" s="1" t="str">
        <f>"COMMENT ON COLUMN " &amp; C3 &amp; "." &amp; C10 &amp; " IS '" &amp; B10 &amp; "'"</f>
        <v>COMMENT ON COLUMN STOCK_CLOSING.SORT_SEQ IS '소팅순서'</v>
      </c>
    </row>
    <row r="11" spans="1:19" x14ac:dyDescent="0.3">
      <c r="A11" s="2"/>
      <c r="B11" s="2" t="s">
        <v>111</v>
      </c>
      <c r="C11" s="2" t="s">
        <v>790</v>
      </c>
      <c r="D11" s="2" t="s">
        <v>188</v>
      </c>
      <c r="E11" s="2" t="s">
        <v>618</v>
      </c>
      <c r="F11" s="2">
        <v>20</v>
      </c>
      <c r="G11" s="2" t="s">
        <v>90</v>
      </c>
      <c r="H11" s="15"/>
      <c r="I11" s="1"/>
      <c r="J11" s="1" t="str">
        <f t="shared" si="0"/>
        <v>INITBY</v>
      </c>
      <c r="K11" s="1" t="str">
        <f t="shared" si="1"/>
        <v>NVARCHAR2</v>
      </c>
      <c r="L11" s="1" t="str">
        <f t="shared" si="2"/>
        <v>(</v>
      </c>
      <c r="M11" s="1">
        <f t="shared" si="3"/>
        <v>20</v>
      </c>
      <c r="N11" s="1" t="str">
        <f t="shared" si="4"/>
        <v>)</v>
      </c>
      <c r="O11" s="1" t="str">
        <f t="shared" si="5"/>
        <v>NOT NULL</v>
      </c>
      <c r="P11" s="1" t="str">
        <f t="shared" si="6"/>
        <v/>
      </c>
      <c r="Q11" s="1" t="s">
        <v>113</v>
      </c>
      <c r="R11" s="1"/>
      <c r="S11" s="1" t="str">
        <f>"COMMENT ON COLUMN " &amp; C3 &amp; "." &amp; C11 &amp; " IS '" &amp; B11 &amp; "'"</f>
        <v>COMMENT ON COLUMN STOCK_CLOSING.INITBY IS '입력자'</v>
      </c>
    </row>
    <row r="12" spans="1:19" x14ac:dyDescent="0.3">
      <c r="A12" s="2"/>
      <c r="B12" s="2" t="s">
        <v>254</v>
      </c>
      <c r="C12" s="2" t="s">
        <v>791</v>
      </c>
      <c r="D12" s="2" t="s">
        <v>254</v>
      </c>
      <c r="E12" s="2" t="s">
        <v>228</v>
      </c>
      <c r="F12" s="2"/>
      <c r="G12" s="2" t="s">
        <v>90</v>
      </c>
      <c r="H12" s="12" t="s">
        <v>570</v>
      </c>
      <c r="I12" s="1"/>
      <c r="J12" s="1" t="str">
        <f t="shared" si="0"/>
        <v>INITDTTM</v>
      </c>
      <c r="K12" s="1" t="str">
        <f t="shared" si="1"/>
        <v>DATE</v>
      </c>
      <c r="L12" s="1" t="str">
        <f t="shared" si="2"/>
        <v/>
      </c>
      <c r="M12" s="1" t="str">
        <f t="shared" si="3"/>
        <v/>
      </c>
      <c r="N12" s="1" t="str">
        <f t="shared" si="4"/>
        <v/>
      </c>
      <c r="O12" s="1" t="str">
        <f t="shared" si="5"/>
        <v>NOT NULL</v>
      </c>
      <c r="P12" s="1" t="str">
        <f t="shared" si="6"/>
        <v>DEFAULT SYSDATE</v>
      </c>
      <c r="Q12" s="1" t="s">
        <v>113</v>
      </c>
      <c r="R12" s="1"/>
      <c r="S12" s="1" t="str">
        <f>"COMMENT ON COLUMN " &amp; C3 &amp; "." &amp; C12 &amp; " IS '" &amp; B12 &amp; "'"</f>
        <v>COMMENT ON COLUMN STOCK_CLOSING.INITDTTM IS '입력일시'</v>
      </c>
    </row>
    <row r="13" spans="1:19" x14ac:dyDescent="0.3">
      <c r="A13" s="2"/>
      <c r="B13" s="2" t="s">
        <v>99</v>
      </c>
      <c r="C13" s="2" t="s">
        <v>793</v>
      </c>
      <c r="D13" s="2" t="s">
        <v>197</v>
      </c>
      <c r="E13" s="2" t="s">
        <v>618</v>
      </c>
      <c r="F13" s="2">
        <v>20</v>
      </c>
      <c r="G13" s="2" t="s">
        <v>122</v>
      </c>
      <c r="H13" s="15"/>
      <c r="I13" s="1"/>
      <c r="J13" s="1" t="str">
        <f t="shared" si="0"/>
        <v>UPBY</v>
      </c>
      <c r="K13" s="1" t="str">
        <f t="shared" si="1"/>
        <v>NVARCHAR2</v>
      </c>
      <c r="L13" s="1" t="str">
        <f t="shared" si="2"/>
        <v>(</v>
      </c>
      <c r="M13" s="1">
        <f t="shared" si="3"/>
        <v>20</v>
      </c>
      <c r="N13" s="1" t="str">
        <f t="shared" si="4"/>
        <v>)</v>
      </c>
      <c r="O13" s="1" t="str">
        <f t="shared" si="5"/>
        <v>NULL</v>
      </c>
      <c r="P13" s="1" t="str">
        <f t="shared" si="6"/>
        <v/>
      </c>
      <c r="Q13" s="1" t="s">
        <v>113</v>
      </c>
      <c r="R13" s="1"/>
      <c r="S13" s="1" t="str">
        <f>"COMMENT ON COLUMN " &amp; C3 &amp; "." &amp; C13 &amp; " IS '" &amp; B13 &amp; "'"</f>
        <v>COMMENT ON COLUMN STOCK_CLOSING.UPBY IS '수정자'</v>
      </c>
    </row>
    <row r="14" spans="1:19" x14ac:dyDescent="0.3">
      <c r="A14" s="2"/>
      <c r="B14" s="2" t="s">
        <v>259</v>
      </c>
      <c r="C14" s="2" t="s">
        <v>792</v>
      </c>
      <c r="D14" s="2" t="s">
        <v>259</v>
      </c>
      <c r="E14" s="2" t="s">
        <v>228</v>
      </c>
      <c r="F14" s="2"/>
      <c r="G14" s="2" t="s">
        <v>122</v>
      </c>
      <c r="H14" s="12"/>
      <c r="I14" s="1"/>
      <c r="J14" s="1" t="str">
        <f t="shared" si="0"/>
        <v>UPDTTM</v>
      </c>
      <c r="K14" s="1" t="str">
        <f t="shared" si="1"/>
        <v>DATE</v>
      </c>
      <c r="L14" s="1" t="str">
        <f t="shared" si="2"/>
        <v/>
      </c>
      <c r="M14" s="1" t="str">
        <f t="shared" si="3"/>
        <v/>
      </c>
      <c r="N14" s="1" t="str">
        <f t="shared" si="4"/>
        <v/>
      </c>
      <c r="O14" s="1" t="str">
        <f t="shared" si="5"/>
        <v>NULL</v>
      </c>
      <c r="P14" s="1" t="str">
        <f t="shared" si="6"/>
        <v/>
      </c>
      <c r="Q14" s="21" t="s">
        <v>723</v>
      </c>
      <c r="R14" s="1"/>
      <c r="S14" s="1" t="str">
        <f>"COMMENT ON COLUMN " &amp; C3 &amp; "." &amp; C14 &amp; " IS '" &amp; B14 &amp; "'"</f>
        <v>COMMENT ON COLUMN STOCK_CLOSING.UPDTTM IS '수정일시'</v>
      </c>
    </row>
    <row r="15" spans="1:19" x14ac:dyDescent="0.3">
      <c r="J15" s="13" t="str">
        <f>"ALTER TABLE "&amp;C3&amp;""</f>
        <v>ALTER TABLE STOCK_CLOSING</v>
      </c>
    </row>
    <row r="16" spans="1:19" x14ac:dyDescent="0.3">
      <c r="J16" s="13" t="str" cm="1">
        <f t="array" ref="J16">"ADD CONSTRAINT PK_"&amp;C3&amp;" PRIMARY KEY (" &amp; _xlfn.TEXTJOIN(", ", TRUE, _xlfn._xlws.FILTER(C6:C59, A6:A59="Y")) &amp; ")"</f>
        <v>ADD CONSTRAINT PK_STOCK_CLOSING PRIMARY KEY (PLANT_CODE, RESOURCE_NO, CLOSE_YYYYMM)</v>
      </c>
    </row>
  </sheetData>
  <phoneticPr fontId="7" type="noConversion"/>
  <hyperlinks>
    <hyperlink ref="A1" location="리스트!A1" display="리스트로 이동" xr:uid="{F494A01F-C708-487D-8583-B93250C915F3}"/>
  </hyperlinks>
  <pageMargins left="0.74805557727813721" right="0.74805557727813721" top="0.98430556058883667" bottom="0.98430556058883667" header="0.51166665554046631" footer="0.51166665554046631"/>
  <pageSetup paperSize="9" fitToWidth="0" fitToHeight="0"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C82C-F61F-43D8-BCBA-B802B37EE408}">
  <dimension ref="A1:S17"/>
  <sheetViews>
    <sheetView zoomScaleNormal="100" zoomScaleSheetLayoutView="100" workbookViewId="0">
      <selection activeCell="J3" sqref="J3:Q3"/>
    </sheetView>
  </sheetViews>
  <sheetFormatPr defaultColWidth="9" defaultRowHeight="16.5" x14ac:dyDescent="0.3"/>
  <cols>
    <col min="1" max="1" width="8.625" bestFit="1" customWidth="1"/>
    <col min="2" max="2" width="13.75" bestFit="1" customWidth="1"/>
    <col min="3" max="3" width="14.125" bestFit="1" customWidth="1"/>
    <col min="4" max="4" width="19.375" bestFit="1" customWidth="1"/>
    <col min="5" max="5" width="12.75" bestFit="1" customWidth="1"/>
    <col min="6" max="6" width="6.75" bestFit="1" customWidth="1"/>
    <col min="7" max="7" width="9" bestFit="1" customWidth="1"/>
    <col min="8" max="8" width="9" customWidth="1"/>
    <col min="10" max="11" width="16.875" customWidth="1"/>
    <col min="12" max="12" width="1.625" bestFit="1" customWidth="1"/>
    <col min="13" max="13" width="3.75" customWidth="1"/>
    <col min="14" max="14" width="1.625" bestFit="1" customWidth="1"/>
    <col min="15" max="15" width="10.125" bestFit="1" customWidth="1"/>
    <col min="16" max="16" width="18.375" bestFit="1" customWidth="1"/>
    <col min="17" max="17" width="10.125" bestFit="1" customWidth="1"/>
    <col min="18" max="18" width="16.875" customWidth="1"/>
  </cols>
  <sheetData>
    <row r="1" spans="1:19" x14ac:dyDescent="0.3">
      <c r="A1" s="16" t="s">
        <v>615</v>
      </c>
    </row>
    <row r="2" spans="1:19" x14ac:dyDescent="0.3">
      <c r="A2" s="2"/>
      <c r="B2" s="2" t="s">
        <v>116</v>
      </c>
      <c r="C2" s="2" t="s">
        <v>119</v>
      </c>
      <c r="D2" s="2" t="s">
        <v>112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3">
      <c r="A3" s="2"/>
      <c r="B3" s="12" t="s">
        <v>573</v>
      </c>
      <c r="C3" s="12" t="s">
        <v>574</v>
      </c>
      <c r="D3" s="2"/>
      <c r="E3" s="1"/>
      <c r="F3" s="1"/>
      <c r="G3" s="1"/>
      <c r="H3" s="1"/>
      <c r="I3" s="1"/>
      <c r="J3" s="13" t="str">
        <f>"DROP TABLE "&amp;C3&amp;" CASCADE CONSTRAINTS PURGE"</f>
        <v>DROP TABLE STOCK_ADJUST CASCADE CONSTRAINTS PURGE</v>
      </c>
      <c r="K3" s="1"/>
      <c r="L3" s="1"/>
      <c r="M3" s="1"/>
      <c r="N3" s="1"/>
      <c r="O3" s="1"/>
      <c r="P3" s="21"/>
      <c r="Q3" s="21" t="s">
        <v>771</v>
      </c>
      <c r="R3" s="1"/>
      <c r="S3" s="1"/>
    </row>
    <row r="4" spans="1:19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3">
      <c r="A5" s="2" t="s">
        <v>88</v>
      </c>
      <c r="B5" s="2" t="s">
        <v>215</v>
      </c>
      <c r="C5" s="2" t="s">
        <v>252</v>
      </c>
      <c r="D5" s="2" t="s">
        <v>169</v>
      </c>
      <c r="E5" s="2" t="s">
        <v>265</v>
      </c>
      <c r="F5" s="2" t="s">
        <v>101</v>
      </c>
      <c r="G5" s="2" t="s">
        <v>205</v>
      </c>
      <c r="H5" s="12" t="s">
        <v>569</v>
      </c>
      <c r="I5" s="1"/>
      <c r="J5" s="1" t="str">
        <f>"CREATE TABLE "&amp;C3&amp;" ("</f>
        <v>CREATE TABLE STOCK_ADJUST (</v>
      </c>
      <c r="K5" s="1"/>
      <c r="L5" s="1"/>
      <c r="M5" s="1"/>
      <c r="N5" s="1"/>
      <c r="O5" s="1"/>
      <c r="P5" s="1"/>
      <c r="Q5" s="1"/>
      <c r="R5" s="1"/>
      <c r="S5" s="1" t="str">
        <f>"COMMENT ON TABLE " &amp; C3 &amp; " IS '" &amp; SUBSTITUTE(B3,"'","''") &amp; "'"</f>
        <v>COMMENT ON TABLE STOCK_ADJUST IS '재고조정량'</v>
      </c>
    </row>
    <row r="6" spans="1:19" x14ac:dyDescent="0.3">
      <c r="A6" s="12" t="s">
        <v>565</v>
      </c>
      <c r="B6" s="12" t="s">
        <v>538</v>
      </c>
      <c r="C6" s="14" t="s">
        <v>528</v>
      </c>
      <c r="D6" s="12"/>
      <c r="E6" s="2" t="s">
        <v>618</v>
      </c>
      <c r="F6" s="2">
        <v>20</v>
      </c>
      <c r="G6" s="12" t="s">
        <v>564</v>
      </c>
      <c r="H6" s="12"/>
      <c r="I6" s="1"/>
      <c r="J6" s="1" t="str">
        <f t="shared" ref="J6:J11" si="0">""&amp;C6&amp;""</f>
        <v>PLANT_CODE</v>
      </c>
      <c r="K6" s="1" t="str">
        <f t="shared" ref="K6:K11" si="1">""&amp;E6&amp;""</f>
        <v>NVARCHAR2</v>
      </c>
      <c r="L6" s="1" t="str">
        <f t="shared" ref="L6:L15" si="2">IF(F6="","","(")</f>
        <v>(</v>
      </c>
      <c r="M6" s="1">
        <f t="shared" ref="M6:M15" si="3">IF(F6="","",F6)</f>
        <v>20</v>
      </c>
      <c r="N6" s="1" t="str">
        <f t="shared" ref="N6:N15" si="4">IF(F6="","",")")</f>
        <v>)</v>
      </c>
      <c r="O6" s="1" t="str">
        <f>IF(G6="N","NOT NULL","NULL")</f>
        <v>NOT NULL</v>
      </c>
      <c r="P6" s="1" t="str">
        <f>IF(H6&lt;&gt;"","DEFAULT "&amp;H6,"")</f>
        <v/>
      </c>
      <c r="Q6" s="1" t="s">
        <v>113</v>
      </c>
      <c r="S6" s="1" t="str">
        <f>"COMMENT ON COLUMN " &amp; C3 &amp; "." &amp; C6 &amp; " IS '" &amp; B6 &amp; "'"</f>
        <v>COMMENT ON COLUMN STOCK_ADJUST.PLANT_CODE IS '공장코드'</v>
      </c>
    </row>
    <row r="7" spans="1:19" x14ac:dyDescent="0.3">
      <c r="A7" s="12" t="s">
        <v>565</v>
      </c>
      <c r="B7" s="12" t="s">
        <v>582</v>
      </c>
      <c r="C7" s="2" t="s">
        <v>72</v>
      </c>
      <c r="D7" s="2"/>
      <c r="E7" s="2" t="s">
        <v>618</v>
      </c>
      <c r="F7" s="2">
        <v>20</v>
      </c>
      <c r="G7" s="12" t="s">
        <v>564</v>
      </c>
      <c r="H7" s="12"/>
      <c r="I7" s="1"/>
      <c r="J7" s="1" t="str">
        <f t="shared" si="0"/>
        <v>RESOURCE_NO</v>
      </c>
      <c r="K7" s="1" t="str">
        <f t="shared" si="1"/>
        <v>NVARCHAR2</v>
      </c>
      <c r="L7" s="1" t="str">
        <f t="shared" si="2"/>
        <v>(</v>
      </c>
      <c r="M7" s="1">
        <f t="shared" si="3"/>
        <v>20</v>
      </c>
      <c r="N7" s="1" t="str">
        <f t="shared" si="4"/>
        <v>)</v>
      </c>
      <c r="O7" s="1" t="str">
        <f t="shared" ref="O7:O15" si="5">IF(G7="N","NOT NULL","NULL")</f>
        <v>NOT NULL</v>
      </c>
      <c r="P7" s="1" t="str">
        <f t="shared" ref="P7:P15" si="6">IF(H7&lt;&gt;"","DEFAULT "&amp;H7,"")</f>
        <v/>
      </c>
      <c r="Q7" s="1" t="s">
        <v>113</v>
      </c>
      <c r="R7" s="1"/>
      <c r="S7" s="1" t="str">
        <f>"COMMENT ON COLUMN " &amp; C3 &amp; "." &amp; C7 &amp; " IS '" &amp; B7 &amp; "'"</f>
        <v>COMMENT ON COLUMN STOCK_ADJUST.RESOURCE_NO IS '제품코드'</v>
      </c>
    </row>
    <row r="8" spans="1:19" x14ac:dyDescent="0.3">
      <c r="A8" s="12" t="s">
        <v>565</v>
      </c>
      <c r="B8" s="12" t="s">
        <v>583</v>
      </c>
      <c r="C8" s="12" t="s">
        <v>577</v>
      </c>
      <c r="D8" s="2"/>
      <c r="E8" s="12" t="s">
        <v>587</v>
      </c>
      <c r="F8" s="2"/>
      <c r="G8" s="12" t="s">
        <v>564</v>
      </c>
      <c r="H8" s="12"/>
      <c r="I8" s="1"/>
      <c r="J8" s="1" t="str">
        <f t="shared" si="0"/>
        <v>ADJUST_DATE</v>
      </c>
      <c r="K8" s="1" t="str">
        <f t="shared" si="1"/>
        <v>DATE</v>
      </c>
      <c r="L8" s="1" t="str">
        <f t="shared" si="2"/>
        <v/>
      </c>
      <c r="M8" s="1" t="str">
        <f t="shared" si="3"/>
        <v/>
      </c>
      <c r="N8" s="1" t="str">
        <f t="shared" si="4"/>
        <v/>
      </c>
      <c r="O8" s="1" t="str">
        <f t="shared" si="5"/>
        <v>NOT NULL</v>
      </c>
      <c r="P8" s="1" t="str">
        <f t="shared" si="6"/>
        <v/>
      </c>
      <c r="Q8" s="1" t="s">
        <v>113</v>
      </c>
      <c r="R8" s="1"/>
      <c r="S8" s="1" t="str">
        <f>"COMMENT ON COLUMN " &amp; C3 &amp; "." &amp; C8 &amp; " IS '" &amp; B8 &amp; "'"</f>
        <v>COMMENT ON COLUMN STOCK_ADJUST.ADJUST_DATE IS '조정일'</v>
      </c>
    </row>
    <row r="9" spans="1:19" x14ac:dyDescent="0.3">
      <c r="A9" s="2"/>
      <c r="B9" s="12" t="s">
        <v>584</v>
      </c>
      <c r="C9" s="12" t="s">
        <v>578</v>
      </c>
      <c r="D9" s="2"/>
      <c r="E9" s="12" t="s">
        <v>546</v>
      </c>
      <c r="F9" s="2"/>
      <c r="G9" s="12" t="s">
        <v>565</v>
      </c>
      <c r="H9" s="12">
        <v>0</v>
      </c>
      <c r="I9" s="1"/>
      <c r="J9" s="1" t="str">
        <f t="shared" si="0"/>
        <v>ADJUST_QTY</v>
      </c>
      <c r="K9" s="1" t="str">
        <f t="shared" si="1"/>
        <v>NUMBER</v>
      </c>
      <c r="L9" s="1" t="str">
        <f t="shared" si="2"/>
        <v/>
      </c>
      <c r="M9" s="1" t="str">
        <f t="shared" si="3"/>
        <v/>
      </c>
      <c r="N9" s="1" t="str">
        <f t="shared" si="4"/>
        <v/>
      </c>
      <c r="O9" s="1" t="str">
        <f t="shared" si="5"/>
        <v>NULL</v>
      </c>
      <c r="P9" s="1" t="str">
        <f t="shared" si="6"/>
        <v>DEFAULT 0</v>
      </c>
      <c r="Q9" s="1" t="s">
        <v>113</v>
      </c>
      <c r="R9" s="1"/>
      <c r="S9" s="1" t="str">
        <f>"COMMENT ON COLUMN " &amp; C3 &amp; "." &amp; C9 &amp; " IS '" &amp; B9 &amp; "'"</f>
        <v>COMMENT ON COLUMN STOCK_ADJUST.ADJUST_QTY IS '조정량'</v>
      </c>
    </row>
    <row r="10" spans="1:19" x14ac:dyDescent="0.3">
      <c r="A10" s="2"/>
      <c r="B10" s="12" t="s">
        <v>585</v>
      </c>
      <c r="C10" s="12" t="s">
        <v>579</v>
      </c>
      <c r="D10" s="2"/>
      <c r="E10" s="12" t="s">
        <v>546</v>
      </c>
      <c r="F10" s="2"/>
      <c r="G10" s="12" t="s">
        <v>565</v>
      </c>
      <c r="H10" s="12">
        <v>0</v>
      </c>
      <c r="I10" s="1"/>
      <c r="J10" s="1" t="str">
        <f t="shared" si="0"/>
        <v>LOSS_QTY</v>
      </c>
      <c r="K10" s="1" t="str">
        <f t="shared" si="1"/>
        <v>NUMBER</v>
      </c>
      <c r="L10" s="1" t="str">
        <f t="shared" si="2"/>
        <v/>
      </c>
      <c r="M10" s="1" t="str">
        <f t="shared" si="3"/>
        <v/>
      </c>
      <c r="N10" s="1" t="str">
        <f t="shared" si="4"/>
        <v/>
      </c>
      <c r="O10" s="1" t="str">
        <f t="shared" si="5"/>
        <v>NULL</v>
      </c>
      <c r="P10" s="1" t="str">
        <f t="shared" si="6"/>
        <v>DEFAULT 0</v>
      </c>
      <c r="Q10" s="1" t="s">
        <v>113</v>
      </c>
      <c r="R10" s="1"/>
      <c r="S10" s="1" t="str">
        <f>"COMMENT ON COLUMN " &amp; C3 &amp; "." &amp; C10 &amp; " IS '" &amp; B10 &amp; "'"</f>
        <v>COMMENT ON COLUMN STOCK_ADJUST.LOSS_QTY IS '부산물량'</v>
      </c>
    </row>
    <row r="11" spans="1:19" x14ac:dyDescent="0.3">
      <c r="A11" s="2"/>
      <c r="B11" s="12" t="s">
        <v>586</v>
      </c>
      <c r="C11" s="12" t="s">
        <v>580</v>
      </c>
      <c r="D11" s="2"/>
      <c r="E11" s="12" t="s">
        <v>546</v>
      </c>
      <c r="F11" s="2"/>
      <c r="G11" s="12" t="s">
        <v>565</v>
      </c>
      <c r="H11" s="12">
        <v>0</v>
      </c>
      <c r="I11" s="1"/>
      <c r="J11" s="1" t="str">
        <f t="shared" si="0"/>
        <v>RETURN_QTY</v>
      </c>
      <c r="K11" s="1" t="str">
        <f t="shared" si="1"/>
        <v>NUMBER</v>
      </c>
      <c r="L11" s="1" t="str">
        <f t="shared" si="2"/>
        <v/>
      </c>
      <c r="M11" s="1" t="str">
        <f t="shared" si="3"/>
        <v/>
      </c>
      <c r="N11" s="1" t="str">
        <f t="shared" si="4"/>
        <v/>
      </c>
      <c r="O11" s="1" t="str">
        <f t="shared" si="5"/>
        <v>NULL</v>
      </c>
      <c r="P11" s="1" t="str">
        <f t="shared" si="6"/>
        <v>DEFAULT 0</v>
      </c>
      <c r="Q11" s="1" t="s">
        <v>113</v>
      </c>
      <c r="R11" s="1"/>
      <c r="S11" s="1" t="str">
        <f>"COMMENT ON COLUMN " &amp; C3 &amp; "." &amp; C11 &amp; " IS '" &amp; B11 &amp; "'"</f>
        <v>COMMENT ON COLUMN STOCK_ADJUST.RETURN_QTY IS '반품중량'</v>
      </c>
    </row>
    <row r="12" spans="1:19" x14ac:dyDescent="0.3">
      <c r="A12" s="2"/>
      <c r="B12" s="2" t="s">
        <v>111</v>
      </c>
      <c r="C12" s="2" t="s">
        <v>790</v>
      </c>
      <c r="D12" s="2" t="s">
        <v>188</v>
      </c>
      <c r="E12" s="2" t="s">
        <v>618</v>
      </c>
      <c r="F12" s="2">
        <v>20</v>
      </c>
      <c r="G12" s="2" t="s">
        <v>90</v>
      </c>
      <c r="H12" s="15"/>
      <c r="I12" s="1"/>
      <c r="J12" s="1" t="str">
        <f>""&amp;C12&amp;""</f>
        <v>INITBY</v>
      </c>
      <c r="K12" s="1" t="str">
        <f>""&amp;E12&amp;""</f>
        <v>NVARCHAR2</v>
      </c>
      <c r="L12" s="1" t="str">
        <f t="shared" si="2"/>
        <v>(</v>
      </c>
      <c r="M12" s="1">
        <f t="shared" si="3"/>
        <v>20</v>
      </c>
      <c r="N12" s="1" t="str">
        <f t="shared" si="4"/>
        <v>)</v>
      </c>
      <c r="O12" s="1" t="str">
        <f t="shared" si="5"/>
        <v>NOT NULL</v>
      </c>
      <c r="P12" s="1" t="str">
        <f t="shared" si="6"/>
        <v/>
      </c>
      <c r="Q12" s="1" t="s">
        <v>113</v>
      </c>
      <c r="R12" s="1"/>
      <c r="S12" s="1" t="str">
        <f>"COMMENT ON COLUMN " &amp; C3 &amp; "." &amp; C12 &amp; " IS '" &amp; B12 &amp; "'"</f>
        <v>COMMENT ON COLUMN STOCK_ADJUST.INITBY IS '입력자'</v>
      </c>
    </row>
    <row r="13" spans="1:19" x14ac:dyDescent="0.3">
      <c r="A13" s="2"/>
      <c r="B13" s="2" t="s">
        <v>254</v>
      </c>
      <c r="C13" s="2" t="s">
        <v>791</v>
      </c>
      <c r="D13" s="2" t="s">
        <v>254</v>
      </c>
      <c r="E13" s="2" t="s">
        <v>228</v>
      </c>
      <c r="F13" s="2"/>
      <c r="G13" s="2" t="s">
        <v>90</v>
      </c>
      <c r="H13" s="12" t="s">
        <v>570</v>
      </c>
      <c r="I13" s="1"/>
      <c r="J13" s="1" t="str">
        <f>""&amp;C13&amp;""</f>
        <v>INITDTTM</v>
      </c>
      <c r="K13" s="1" t="str">
        <f>""&amp;E13&amp;""</f>
        <v>DATE</v>
      </c>
      <c r="L13" s="1" t="str">
        <f t="shared" si="2"/>
        <v/>
      </c>
      <c r="M13" s="1" t="str">
        <f t="shared" si="3"/>
        <v/>
      </c>
      <c r="N13" s="1" t="str">
        <f t="shared" si="4"/>
        <v/>
      </c>
      <c r="O13" s="1" t="str">
        <f t="shared" si="5"/>
        <v>NOT NULL</v>
      </c>
      <c r="P13" s="1" t="str">
        <f t="shared" si="6"/>
        <v>DEFAULT SYSDATE</v>
      </c>
      <c r="Q13" s="1" t="s">
        <v>113</v>
      </c>
      <c r="R13" s="1"/>
      <c r="S13" s="1" t="str">
        <f>"COMMENT ON COLUMN " &amp; C3 &amp; "." &amp; C13 &amp; " IS '" &amp; B13 &amp; "'"</f>
        <v>COMMENT ON COLUMN STOCK_ADJUST.INITDTTM IS '입력일시'</v>
      </c>
    </row>
    <row r="14" spans="1:19" x14ac:dyDescent="0.3">
      <c r="A14" s="2"/>
      <c r="B14" s="2" t="s">
        <v>99</v>
      </c>
      <c r="C14" s="2" t="s">
        <v>793</v>
      </c>
      <c r="D14" s="2" t="s">
        <v>197</v>
      </c>
      <c r="E14" s="2" t="s">
        <v>618</v>
      </c>
      <c r="F14" s="2">
        <v>20</v>
      </c>
      <c r="G14" s="2" t="s">
        <v>122</v>
      </c>
      <c r="H14" s="15"/>
      <c r="I14" s="1"/>
      <c r="J14" s="1" t="str">
        <f>""&amp;C14&amp;""</f>
        <v>UPBY</v>
      </c>
      <c r="K14" s="1" t="str">
        <f>""&amp;E14&amp;""</f>
        <v>NVARCHAR2</v>
      </c>
      <c r="L14" s="1" t="str">
        <f t="shared" si="2"/>
        <v>(</v>
      </c>
      <c r="M14" s="1">
        <f t="shared" si="3"/>
        <v>20</v>
      </c>
      <c r="N14" s="1" t="str">
        <f t="shared" si="4"/>
        <v>)</v>
      </c>
      <c r="O14" s="1" t="str">
        <f t="shared" si="5"/>
        <v>NULL</v>
      </c>
      <c r="P14" s="1" t="str">
        <f t="shared" si="6"/>
        <v/>
      </c>
      <c r="Q14" s="1" t="s">
        <v>113</v>
      </c>
      <c r="R14" s="1"/>
      <c r="S14" s="1" t="str">
        <f>"COMMENT ON COLUMN " &amp; C3 &amp; "." &amp; C14 &amp; " IS '" &amp; B14 &amp; "'"</f>
        <v>COMMENT ON COLUMN STOCK_ADJUST.UPBY IS '수정자'</v>
      </c>
    </row>
    <row r="15" spans="1:19" x14ac:dyDescent="0.3">
      <c r="A15" s="2"/>
      <c r="B15" s="2" t="s">
        <v>259</v>
      </c>
      <c r="C15" s="2" t="s">
        <v>792</v>
      </c>
      <c r="D15" s="2" t="s">
        <v>259</v>
      </c>
      <c r="E15" s="2" t="s">
        <v>228</v>
      </c>
      <c r="F15" s="2"/>
      <c r="G15" s="2" t="s">
        <v>122</v>
      </c>
      <c r="H15" s="12"/>
      <c r="I15" s="1"/>
      <c r="J15" s="1" t="str">
        <f>""&amp;C15&amp;""</f>
        <v>UPDTTM</v>
      </c>
      <c r="K15" s="1" t="str">
        <f>""&amp;E15&amp;""</f>
        <v>DATE</v>
      </c>
      <c r="L15" s="1" t="str">
        <f t="shared" si="2"/>
        <v/>
      </c>
      <c r="M15" s="1" t="str">
        <f t="shared" si="3"/>
        <v/>
      </c>
      <c r="N15" s="1" t="str">
        <f t="shared" si="4"/>
        <v/>
      </c>
      <c r="O15" s="1" t="str">
        <f t="shared" si="5"/>
        <v>NULL</v>
      </c>
      <c r="P15" s="1" t="str">
        <f t="shared" si="6"/>
        <v/>
      </c>
      <c r="Q15" s="21" t="s">
        <v>723</v>
      </c>
      <c r="R15" s="1"/>
      <c r="S15" s="1" t="str">
        <f>"COMMENT ON COLUMN " &amp; C3 &amp; "." &amp; C15 &amp; " IS '" &amp; B15 &amp; "'"</f>
        <v>COMMENT ON COLUMN STOCK_ADJUST.UPDTTM IS '수정일시'</v>
      </c>
    </row>
    <row r="16" spans="1:19" x14ac:dyDescent="0.3">
      <c r="J16" s="13" t="str">
        <f>"ALTER TABLE "&amp;C3&amp;""</f>
        <v>ALTER TABLE STOCK_ADJUST</v>
      </c>
    </row>
    <row r="17" spans="10:10" x14ac:dyDescent="0.3">
      <c r="J17" s="13" t="str" cm="1">
        <f t="array" ref="J17">"ADD CONSTRAINT PK_"&amp;C3&amp;" PRIMARY KEY (" &amp; _xlfn.TEXTJOIN(", ", TRUE, _xlfn._xlws.FILTER(C6:C60, A6:A60="Y")) &amp; ")"</f>
        <v>ADD CONSTRAINT PK_STOCK_ADJUST PRIMARY KEY (PLANT_CODE, RESOURCE_NO, ADJUST_DATE)</v>
      </c>
    </row>
  </sheetData>
  <phoneticPr fontId="7" type="noConversion"/>
  <hyperlinks>
    <hyperlink ref="A1" location="리스트!A1" display="리스트로 이동" xr:uid="{6872FA0A-F865-4D5C-93C0-172E7F0B70B9}"/>
  </hyperlinks>
  <pageMargins left="0.74805557727813721" right="0.74805557727813721" top="0.98430556058883667" bottom="0.98430556058883667" header="0.51166665554046631" footer="0.51166665554046631"/>
  <pageSetup paperSize="9" fitToWidth="0" fitToHeight="0"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D0FBC-0270-4815-BEE0-22BC6C6F00FF}">
  <dimension ref="A1:S15"/>
  <sheetViews>
    <sheetView zoomScaleNormal="100" zoomScaleSheetLayoutView="100" workbookViewId="0">
      <selection activeCell="J3" sqref="J3:Q3"/>
    </sheetView>
  </sheetViews>
  <sheetFormatPr defaultColWidth="9" defaultRowHeight="16.5" x14ac:dyDescent="0.3"/>
  <cols>
    <col min="1" max="1" width="8.625" bestFit="1" customWidth="1"/>
    <col min="2" max="2" width="13.75" bestFit="1" customWidth="1"/>
    <col min="3" max="3" width="14.125" bestFit="1" customWidth="1"/>
    <col min="4" max="4" width="19.375" bestFit="1" customWidth="1"/>
    <col min="5" max="5" width="12.75" bestFit="1" customWidth="1"/>
    <col min="6" max="6" width="6.75" bestFit="1" customWidth="1"/>
    <col min="7" max="7" width="9" bestFit="1" customWidth="1"/>
    <col min="8" max="8" width="9" customWidth="1"/>
    <col min="10" max="11" width="16.875" customWidth="1"/>
    <col min="12" max="12" width="1.625" bestFit="1" customWidth="1"/>
    <col min="13" max="13" width="3.75" customWidth="1"/>
    <col min="14" max="14" width="1.625" bestFit="1" customWidth="1"/>
    <col min="15" max="15" width="10.125" bestFit="1" customWidth="1"/>
    <col min="16" max="16" width="18.375" bestFit="1" customWidth="1"/>
    <col min="17" max="17" width="10.125" bestFit="1" customWidth="1"/>
    <col min="18" max="18" width="16.875" customWidth="1"/>
  </cols>
  <sheetData>
    <row r="1" spans="1:19" x14ac:dyDescent="0.3">
      <c r="A1" s="16" t="s">
        <v>615</v>
      </c>
    </row>
    <row r="2" spans="1:19" x14ac:dyDescent="0.3">
      <c r="A2" s="2"/>
      <c r="B2" s="2" t="s">
        <v>116</v>
      </c>
      <c r="C2" s="2" t="s">
        <v>119</v>
      </c>
      <c r="D2" s="2" t="s">
        <v>112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3">
      <c r="A3" s="2"/>
      <c r="B3" s="12" t="s">
        <v>594</v>
      </c>
      <c r="C3" s="12" t="s">
        <v>648</v>
      </c>
      <c r="D3" s="2"/>
      <c r="E3" s="1"/>
      <c r="F3" s="1"/>
      <c r="G3" s="1"/>
      <c r="H3" s="1"/>
      <c r="I3" s="1"/>
      <c r="J3" s="13" t="str">
        <f>"DROP TABLE "&amp;C3&amp;" CASCADE CONSTRAINTS PURGE"</f>
        <v>DROP TABLE ROUTING CASCADE CONSTRAINTS PURGE</v>
      </c>
      <c r="K3" s="1"/>
      <c r="L3" s="1"/>
      <c r="M3" s="1"/>
      <c r="N3" s="1"/>
      <c r="O3" s="1"/>
      <c r="P3" s="21"/>
      <c r="Q3" s="21" t="s">
        <v>771</v>
      </c>
      <c r="R3" s="1"/>
      <c r="S3" s="1"/>
    </row>
    <row r="4" spans="1:19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3">
      <c r="A5" s="2" t="s">
        <v>88</v>
      </c>
      <c r="B5" s="2" t="s">
        <v>215</v>
      </c>
      <c r="C5" s="2" t="s">
        <v>252</v>
      </c>
      <c r="D5" s="2" t="s">
        <v>169</v>
      </c>
      <c r="E5" s="2" t="s">
        <v>265</v>
      </c>
      <c r="F5" s="2" t="s">
        <v>101</v>
      </c>
      <c r="G5" s="2" t="s">
        <v>205</v>
      </c>
      <c r="H5" s="12" t="s">
        <v>569</v>
      </c>
      <c r="I5" s="1"/>
      <c r="J5" s="1" t="str">
        <f>"CREATE TABLE "&amp;C3&amp;" ("</f>
        <v>CREATE TABLE ROUTING (</v>
      </c>
      <c r="K5" s="1"/>
      <c r="L5" s="1"/>
      <c r="M5" s="1"/>
      <c r="N5" s="1"/>
      <c r="O5" s="1"/>
      <c r="P5" s="1"/>
      <c r="Q5" s="1"/>
      <c r="R5" s="1"/>
      <c r="S5" s="1" t="str">
        <f>"COMMENT ON TABLE " &amp; C3 &amp; " IS '" &amp; SUBSTITUTE(B3,"'","''") &amp; "'"</f>
        <v>COMMENT ON TABLE ROUTING IS '라우팅'</v>
      </c>
    </row>
    <row r="6" spans="1:19" x14ac:dyDescent="0.3">
      <c r="A6" s="12" t="s">
        <v>565</v>
      </c>
      <c r="B6" s="12" t="s">
        <v>538</v>
      </c>
      <c r="C6" s="14" t="s">
        <v>528</v>
      </c>
      <c r="D6" s="12"/>
      <c r="E6" s="2" t="s">
        <v>618</v>
      </c>
      <c r="F6" s="2">
        <v>20</v>
      </c>
      <c r="G6" s="12" t="s">
        <v>564</v>
      </c>
      <c r="H6" s="12"/>
      <c r="I6" s="1"/>
      <c r="J6" s="1" t="str">
        <f t="shared" ref="J6:J13" si="0">""&amp;C6&amp;""</f>
        <v>PLANT_CODE</v>
      </c>
      <c r="K6" s="1" t="str">
        <f t="shared" ref="K6:K13" si="1">""&amp;E6&amp;""</f>
        <v>NVARCHAR2</v>
      </c>
      <c r="L6" s="1" t="str">
        <f t="shared" ref="L6:L13" si="2">IF(F6="","","(")</f>
        <v>(</v>
      </c>
      <c r="M6" s="1">
        <f t="shared" ref="M6:M13" si="3">IF(F6="","",F6)</f>
        <v>20</v>
      </c>
      <c r="N6" s="1" t="str">
        <f t="shared" ref="N6:N13" si="4">IF(F6="","",")")</f>
        <v>)</v>
      </c>
      <c r="O6" s="1" t="str">
        <f>IF(G6="N","NOT NULL","NULL")</f>
        <v>NOT NULL</v>
      </c>
      <c r="P6" s="1" t="str">
        <f>IF(H6&lt;&gt;"","DEFAULT "&amp;H6,"")</f>
        <v/>
      </c>
      <c r="Q6" s="1" t="s">
        <v>113</v>
      </c>
      <c r="S6" s="1" t="str">
        <f>"COMMENT ON COLUMN " &amp; C3 &amp; "." &amp; C6 &amp; " IS '" &amp; B6 &amp; "'"</f>
        <v>COMMENT ON COLUMN ROUTING.PLANT_CODE IS '공장코드'</v>
      </c>
    </row>
    <row r="7" spans="1:19" x14ac:dyDescent="0.3">
      <c r="A7" s="12" t="s">
        <v>565</v>
      </c>
      <c r="B7" s="12" t="s">
        <v>581</v>
      </c>
      <c r="C7" s="2" t="s">
        <v>72</v>
      </c>
      <c r="D7" s="2"/>
      <c r="E7" s="12" t="s">
        <v>618</v>
      </c>
      <c r="F7" s="2">
        <v>20</v>
      </c>
      <c r="G7" s="12" t="s">
        <v>564</v>
      </c>
      <c r="H7" s="12"/>
      <c r="I7" s="1"/>
      <c r="J7" s="1" t="str">
        <f t="shared" si="0"/>
        <v>RESOURCE_NO</v>
      </c>
      <c r="K7" s="1" t="str">
        <f t="shared" si="1"/>
        <v>NVARCHAR2</v>
      </c>
      <c r="L7" s="1" t="str">
        <f t="shared" si="2"/>
        <v>(</v>
      </c>
      <c r="M7" s="1">
        <f t="shared" si="3"/>
        <v>20</v>
      </c>
      <c r="N7" s="1" t="str">
        <f t="shared" si="4"/>
        <v>)</v>
      </c>
      <c r="O7" s="1" t="str">
        <f t="shared" ref="O7:O13" si="5">IF(G7="N","NOT NULL","NULL")</f>
        <v>NOT NULL</v>
      </c>
      <c r="P7" s="1" t="str">
        <f t="shared" ref="P7:P13" si="6">IF(H7&lt;&gt;"","DEFAULT "&amp;H7,"")</f>
        <v/>
      </c>
      <c r="Q7" s="1" t="s">
        <v>113</v>
      </c>
      <c r="R7" s="1"/>
      <c r="S7" s="1" t="str">
        <f>"COMMENT ON COLUMN " &amp; C3 &amp; "." &amp; C7 &amp; " IS '" &amp; B7 &amp; "'"</f>
        <v>COMMENT ON COLUMN ROUTING.RESOURCE_NO IS '제품명'</v>
      </c>
    </row>
    <row r="8" spans="1:19" x14ac:dyDescent="0.3">
      <c r="A8" s="12" t="s">
        <v>565</v>
      </c>
      <c r="B8" s="12" t="s">
        <v>590</v>
      </c>
      <c r="C8" s="12" t="s">
        <v>592</v>
      </c>
      <c r="D8" s="12"/>
      <c r="E8" s="12" t="s">
        <v>546</v>
      </c>
      <c r="F8" s="2"/>
      <c r="G8" s="12" t="s">
        <v>564</v>
      </c>
      <c r="H8" s="12"/>
      <c r="I8" s="1"/>
      <c r="J8" s="1" t="str">
        <f t="shared" si="0"/>
        <v>PROCESS_SEQ</v>
      </c>
      <c r="K8" s="1" t="str">
        <f t="shared" si="1"/>
        <v>NUMBER</v>
      </c>
      <c r="L8" s="1" t="str">
        <f t="shared" si="2"/>
        <v/>
      </c>
      <c r="M8" s="1" t="str">
        <f t="shared" si="3"/>
        <v/>
      </c>
      <c r="N8" s="1" t="str">
        <f t="shared" si="4"/>
        <v/>
      </c>
      <c r="O8" s="1" t="str">
        <f t="shared" si="5"/>
        <v>NOT NULL</v>
      </c>
      <c r="P8" s="1" t="str">
        <f t="shared" si="6"/>
        <v/>
      </c>
      <c r="Q8" s="1" t="s">
        <v>113</v>
      </c>
      <c r="R8" s="1"/>
      <c r="S8" s="1" t="str">
        <f>"COMMENT ON COLUMN " &amp; C3 &amp; "." &amp; C8 &amp; " IS '" &amp; B8 &amp; "'"</f>
        <v>COMMENT ON COLUMN ROUTING.PROCESS_SEQ IS '공정순서'</v>
      </c>
    </row>
    <row r="9" spans="1:19" x14ac:dyDescent="0.3">
      <c r="A9" s="2"/>
      <c r="B9" s="12" t="s">
        <v>591</v>
      </c>
      <c r="C9" s="12" t="s">
        <v>593</v>
      </c>
      <c r="D9" s="2"/>
      <c r="E9" s="12" t="s">
        <v>618</v>
      </c>
      <c r="F9" s="2">
        <v>20</v>
      </c>
      <c r="G9" s="12" t="s">
        <v>565</v>
      </c>
      <c r="H9" s="12">
        <v>0</v>
      </c>
      <c r="I9" s="1"/>
      <c r="J9" s="1" t="str">
        <f t="shared" si="0"/>
        <v>PROCESS_CODE</v>
      </c>
      <c r="K9" s="1" t="str">
        <f t="shared" si="1"/>
        <v>NVARCHAR2</v>
      </c>
      <c r="L9" s="1" t="str">
        <f t="shared" si="2"/>
        <v>(</v>
      </c>
      <c r="M9" s="1">
        <f t="shared" si="3"/>
        <v>20</v>
      </c>
      <c r="N9" s="1" t="str">
        <f t="shared" si="4"/>
        <v>)</v>
      </c>
      <c r="O9" s="1" t="str">
        <f t="shared" si="5"/>
        <v>NULL</v>
      </c>
      <c r="P9" s="1" t="str">
        <f t="shared" si="6"/>
        <v>DEFAULT 0</v>
      </c>
      <c r="Q9" s="1" t="s">
        <v>113</v>
      </c>
      <c r="R9" s="1"/>
      <c r="S9" s="1" t="str">
        <f>"COMMENT ON COLUMN " &amp; C3 &amp; "." &amp; C9 &amp; " IS '" &amp; B9 &amp; "'"</f>
        <v>COMMENT ON COLUMN ROUTING.PROCESS_CODE IS '공정'</v>
      </c>
    </row>
    <row r="10" spans="1:19" x14ac:dyDescent="0.3">
      <c r="A10" s="2"/>
      <c r="B10" s="2" t="s">
        <v>111</v>
      </c>
      <c r="C10" s="2" t="s">
        <v>790</v>
      </c>
      <c r="D10" s="2" t="s">
        <v>188</v>
      </c>
      <c r="E10" s="2" t="s">
        <v>618</v>
      </c>
      <c r="F10" s="2">
        <v>20</v>
      </c>
      <c r="G10" s="2" t="s">
        <v>90</v>
      </c>
      <c r="H10" s="15"/>
      <c r="I10" s="1"/>
      <c r="J10" s="1" t="str">
        <f t="shared" si="0"/>
        <v>INITBY</v>
      </c>
      <c r="K10" s="1" t="str">
        <f t="shared" si="1"/>
        <v>NVARCHAR2</v>
      </c>
      <c r="L10" s="1" t="str">
        <f t="shared" si="2"/>
        <v>(</v>
      </c>
      <c r="M10" s="1">
        <f t="shared" si="3"/>
        <v>20</v>
      </c>
      <c r="N10" s="1" t="str">
        <f t="shared" si="4"/>
        <v>)</v>
      </c>
      <c r="O10" s="1" t="str">
        <f t="shared" si="5"/>
        <v>NOT NULL</v>
      </c>
      <c r="P10" s="1" t="str">
        <f t="shared" si="6"/>
        <v/>
      </c>
      <c r="Q10" s="1" t="s">
        <v>113</v>
      </c>
      <c r="R10" s="1"/>
      <c r="S10" s="1" t="str">
        <f>"COMMENT ON COLUMN " &amp; C3 &amp; "." &amp; C10 &amp; " IS '" &amp; B10 &amp; "'"</f>
        <v>COMMENT ON COLUMN ROUTING.INITBY IS '입력자'</v>
      </c>
    </row>
    <row r="11" spans="1:19" x14ac:dyDescent="0.3">
      <c r="A11" s="2"/>
      <c r="B11" s="2" t="s">
        <v>254</v>
      </c>
      <c r="C11" s="2" t="s">
        <v>791</v>
      </c>
      <c r="D11" s="2" t="s">
        <v>254</v>
      </c>
      <c r="E11" s="2" t="s">
        <v>228</v>
      </c>
      <c r="F11" s="2"/>
      <c r="G11" s="2" t="s">
        <v>90</v>
      </c>
      <c r="H11" s="12" t="s">
        <v>570</v>
      </c>
      <c r="I11" s="1"/>
      <c r="J11" s="1" t="str">
        <f t="shared" si="0"/>
        <v>INITDTTM</v>
      </c>
      <c r="K11" s="1" t="str">
        <f t="shared" si="1"/>
        <v>DATE</v>
      </c>
      <c r="L11" s="1" t="str">
        <f t="shared" si="2"/>
        <v/>
      </c>
      <c r="M11" s="1" t="str">
        <f t="shared" si="3"/>
        <v/>
      </c>
      <c r="N11" s="1" t="str">
        <f t="shared" si="4"/>
        <v/>
      </c>
      <c r="O11" s="1" t="str">
        <f t="shared" si="5"/>
        <v>NOT NULL</v>
      </c>
      <c r="P11" s="1" t="str">
        <f t="shared" si="6"/>
        <v>DEFAULT SYSDATE</v>
      </c>
      <c r="Q11" s="1" t="s">
        <v>113</v>
      </c>
      <c r="R11" s="1"/>
      <c r="S11" s="1" t="str">
        <f>"COMMENT ON COLUMN " &amp; C3 &amp; "." &amp; C11 &amp; " IS '" &amp; B11 &amp; "'"</f>
        <v>COMMENT ON COLUMN ROUTING.INITDTTM IS '입력일시'</v>
      </c>
    </row>
    <row r="12" spans="1:19" x14ac:dyDescent="0.3">
      <c r="A12" s="2"/>
      <c r="B12" s="2" t="s">
        <v>99</v>
      </c>
      <c r="C12" s="2" t="s">
        <v>793</v>
      </c>
      <c r="D12" s="2" t="s">
        <v>197</v>
      </c>
      <c r="E12" s="2" t="s">
        <v>618</v>
      </c>
      <c r="F12" s="2">
        <v>20</v>
      </c>
      <c r="G12" s="2" t="s">
        <v>122</v>
      </c>
      <c r="H12" s="15"/>
      <c r="I12" s="1"/>
      <c r="J12" s="1" t="str">
        <f t="shared" si="0"/>
        <v>UPBY</v>
      </c>
      <c r="K12" s="1" t="str">
        <f t="shared" si="1"/>
        <v>NVARCHAR2</v>
      </c>
      <c r="L12" s="1" t="str">
        <f t="shared" si="2"/>
        <v>(</v>
      </c>
      <c r="M12" s="1">
        <f t="shared" si="3"/>
        <v>20</v>
      </c>
      <c r="N12" s="1" t="str">
        <f t="shared" si="4"/>
        <v>)</v>
      </c>
      <c r="O12" s="1" t="str">
        <f t="shared" si="5"/>
        <v>NULL</v>
      </c>
      <c r="P12" s="1" t="str">
        <f t="shared" si="6"/>
        <v/>
      </c>
      <c r="Q12" s="1" t="s">
        <v>113</v>
      </c>
      <c r="R12" s="1"/>
      <c r="S12" s="1" t="str">
        <f>"COMMENT ON COLUMN " &amp; C3 &amp; "." &amp; C12 &amp; " IS '" &amp; B12 &amp; "'"</f>
        <v>COMMENT ON COLUMN ROUTING.UPBY IS '수정자'</v>
      </c>
    </row>
    <row r="13" spans="1:19" x14ac:dyDescent="0.3">
      <c r="A13" s="2"/>
      <c r="B13" s="2" t="s">
        <v>259</v>
      </c>
      <c r="C13" s="2" t="s">
        <v>792</v>
      </c>
      <c r="D13" s="2" t="s">
        <v>259</v>
      </c>
      <c r="E13" s="2" t="s">
        <v>228</v>
      </c>
      <c r="F13" s="2"/>
      <c r="G13" s="2" t="s">
        <v>122</v>
      </c>
      <c r="H13" s="12"/>
      <c r="I13" s="1"/>
      <c r="J13" s="1" t="str">
        <f t="shared" si="0"/>
        <v>UPDTTM</v>
      </c>
      <c r="K13" s="1" t="str">
        <f t="shared" si="1"/>
        <v>DATE</v>
      </c>
      <c r="L13" s="1" t="str">
        <f t="shared" si="2"/>
        <v/>
      </c>
      <c r="M13" s="1" t="str">
        <f t="shared" si="3"/>
        <v/>
      </c>
      <c r="N13" s="1" t="str">
        <f t="shared" si="4"/>
        <v/>
      </c>
      <c r="O13" s="1" t="str">
        <f t="shared" si="5"/>
        <v>NULL</v>
      </c>
      <c r="P13" s="1" t="str">
        <f t="shared" si="6"/>
        <v/>
      </c>
      <c r="Q13" s="21" t="s">
        <v>723</v>
      </c>
      <c r="R13" s="1"/>
      <c r="S13" s="1" t="str">
        <f>"COMMENT ON COLUMN " &amp; C3 &amp; "." &amp; C13 &amp; " IS '" &amp; B13 &amp; "'"</f>
        <v>COMMENT ON COLUMN ROUTING.UPDTTM IS '수정일시'</v>
      </c>
    </row>
    <row r="14" spans="1:19" x14ac:dyDescent="0.3">
      <c r="J14" s="13" t="str">
        <f>"ALTER TABLE "&amp;C3&amp;""</f>
        <v>ALTER TABLE ROUTING</v>
      </c>
    </row>
    <row r="15" spans="1:19" x14ac:dyDescent="0.3">
      <c r="J15" s="13" t="str" cm="1">
        <f t="array" ref="J15">"ADD CONSTRAINT PK_"&amp;C3&amp;" PRIMARY KEY (" &amp; _xlfn.TEXTJOIN(", ", TRUE, _xlfn._xlws.FILTER(C6:C58, A6:A58="Y")) &amp; ")"</f>
        <v>ADD CONSTRAINT PK_ROUTING PRIMARY KEY (PLANT_CODE, RESOURCE_NO, PROCESS_SEQ)</v>
      </c>
    </row>
  </sheetData>
  <phoneticPr fontId="7" type="noConversion"/>
  <hyperlinks>
    <hyperlink ref="A1" location="리스트!A1" display="리스트로 이동" xr:uid="{BC2E33C4-ED08-49E6-BCD5-14E131370A35}"/>
  </hyperlinks>
  <pageMargins left="0.74805557727813721" right="0.74805557727813721" top="0.98430556058883667" bottom="0.98430556058883667" header="0.51166665554046631" footer="0.51166665554046631"/>
  <pageSetup paperSize="9" fitToWidth="0" fitToHeight="0"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D7C03-532C-4890-849A-9C35077159E3}">
  <dimension ref="A1:S20"/>
  <sheetViews>
    <sheetView zoomScaleNormal="100" zoomScaleSheetLayoutView="100" workbookViewId="0">
      <selection activeCell="J3" sqref="J3:Q3"/>
    </sheetView>
  </sheetViews>
  <sheetFormatPr defaultColWidth="9" defaultRowHeight="16.5" x14ac:dyDescent="0.3"/>
  <cols>
    <col min="1" max="1" width="8.625" bestFit="1" customWidth="1"/>
    <col min="2" max="2" width="13.75" bestFit="1" customWidth="1"/>
    <col min="3" max="3" width="14.125" bestFit="1" customWidth="1"/>
    <col min="4" max="4" width="19.375" bestFit="1" customWidth="1"/>
    <col min="5" max="5" width="12.75" bestFit="1" customWidth="1"/>
    <col min="6" max="6" width="6.75" bestFit="1" customWidth="1"/>
    <col min="7" max="7" width="9" bestFit="1" customWidth="1"/>
    <col min="8" max="8" width="9" customWidth="1"/>
    <col min="10" max="11" width="16.875" customWidth="1"/>
    <col min="12" max="12" width="1.625" bestFit="1" customWidth="1"/>
    <col min="13" max="13" width="4.5" bestFit="1" customWidth="1"/>
    <col min="14" max="14" width="1.625" bestFit="1" customWidth="1"/>
    <col min="15" max="15" width="10.125" customWidth="1"/>
    <col min="16" max="17" width="10.125" bestFit="1" customWidth="1"/>
    <col min="18" max="18" width="16.875" customWidth="1"/>
  </cols>
  <sheetData>
    <row r="1" spans="1:19" x14ac:dyDescent="0.3">
      <c r="A1" s="16" t="s">
        <v>615</v>
      </c>
    </row>
    <row r="2" spans="1:19" x14ac:dyDescent="0.3">
      <c r="A2" s="2"/>
      <c r="B2" s="2" t="s">
        <v>116</v>
      </c>
      <c r="C2" s="2" t="s">
        <v>119</v>
      </c>
      <c r="D2" s="2" t="s">
        <v>112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3">
      <c r="A3" s="2"/>
      <c r="B3" s="12" t="s">
        <v>617</v>
      </c>
      <c r="C3" s="2" t="s">
        <v>649</v>
      </c>
      <c r="D3" s="2"/>
      <c r="E3" s="1"/>
      <c r="F3" s="1"/>
      <c r="G3" s="1"/>
      <c r="H3" s="1"/>
      <c r="I3" s="1"/>
      <c r="J3" s="13" t="str">
        <f>"DROP TABLE "&amp;C3&amp;" CASCADE CONSTRAINTS PURGE"</f>
        <v>DROP TABLE FEED_LABEL CASCADE CONSTRAINTS PURGE</v>
      </c>
      <c r="K3" s="1"/>
      <c r="L3" s="1"/>
      <c r="M3" s="1"/>
      <c r="N3" s="1"/>
      <c r="O3" s="1"/>
      <c r="P3" s="21"/>
      <c r="Q3" s="21" t="s">
        <v>771</v>
      </c>
      <c r="R3" s="1"/>
      <c r="S3" s="1"/>
    </row>
    <row r="4" spans="1:19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3">
      <c r="A5" s="2" t="s">
        <v>88</v>
      </c>
      <c r="B5" s="2" t="s">
        <v>215</v>
      </c>
      <c r="C5" s="2" t="s">
        <v>252</v>
      </c>
      <c r="D5" s="2" t="s">
        <v>169</v>
      </c>
      <c r="E5" s="2" t="s">
        <v>265</v>
      </c>
      <c r="F5" s="2" t="s">
        <v>101</v>
      </c>
      <c r="G5" s="2" t="s">
        <v>205</v>
      </c>
      <c r="H5" s="2" t="s">
        <v>569</v>
      </c>
      <c r="I5" s="1"/>
      <c r="J5" s="1" t="str">
        <f>"CREATE TABLE "&amp;C3&amp;" ("</f>
        <v>CREATE TABLE FEED_LABEL (</v>
      </c>
      <c r="K5" s="1"/>
      <c r="L5" s="1"/>
      <c r="M5" s="1"/>
      <c r="N5" s="1"/>
      <c r="O5" s="1"/>
      <c r="P5" s="1"/>
      <c r="Q5" s="1"/>
      <c r="R5" s="1"/>
      <c r="S5" s="1" t="str">
        <f>"COMMENT ON TABLE " &amp; C3 &amp; " IS '" &amp; SUBSTITUTE(B3,"'","''") &amp; "'"</f>
        <v>COMMENT ON TABLE FEED_LABEL IS '성분표'</v>
      </c>
    </row>
    <row r="6" spans="1:19" x14ac:dyDescent="0.3">
      <c r="A6" s="2" t="s">
        <v>565</v>
      </c>
      <c r="B6" s="2" t="s">
        <v>538</v>
      </c>
      <c r="C6" s="14" t="s">
        <v>528</v>
      </c>
      <c r="D6" s="2"/>
      <c r="E6" s="2" t="s">
        <v>618</v>
      </c>
      <c r="F6" s="2">
        <v>20</v>
      </c>
      <c r="G6" s="2" t="s">
        <v>564</v>
      </c>
      <c r="H6" s="2"/>
      <c r="I6" s="1"/>
      <c r="J6" s="1" t="str">
        <f t="shared" ref="J6:J14" si="0">""&amp;C6&amp;""</f>
        <v>PLANT_CODE</v>
      </c>
      <c r="K6" s="1" t="str">
        <f t="shared" ref="K6:K14" si="1">""&amp;E6&amp;""</f>
        <v>NVARCHAR2</v>
      </c>
      <c r="L6" s="1" t="str">
        <f t="shared" ref="L6:L18" si="2">IF(F6="","","(")</f>
        <v>(</v>
      </c>
      <c r="M6" s="1">
        <f t="shared" ref="M6:M18" si="3">IF(F6="","",F6)</f>
        <v>20</v>
      </c>
      <c r="N6" s="1" t="str">
        <f t="shared" ref="N6:N18" si="4">IF(F6="","",")")</f>
        <v>)</v>
      </c>
      <c r="O6" s="1" t="str">
        <f t="shared" ref="O6:O18" si="5">IF(H6&lt;&gt;"","DEFAULT "&amp;H6,"")</f>
        <v/>
      </c>
      <c r="P6" s="1" t="str">
        <f>IF(G6="N","NOT NULL","NULL")</f>
        <v>NOT NULL</v>
      </c>
      <c r="Q6" s="1" t="s">
        <v>113</v>
      </c>
      <c r="S6" s="1" t="str">
        <f>"COMMENT ON COLUMN " &amp; C3 &amp; "." &amp; C6 &amp; " IS '" &amp; B6 &amp; "'"</f>
        <v>COMMENT ON COLUMN FEED_LABEL.PLANT_CODE IS '공장코드'</v>
      </c>
    </row>
    <row r="7" spans="1:19" x14ac:dyDescent="0.3">
      <c r="A7" s="2" t="s">
        <v>565</v>
      </c>
      <c r="B7" s="2" t="s">
        <v>581</v>
      </c>
      <c r="C7" s="2" t="s">
        <v>72</v>
      </c>
      <c r="D7" s="2"/>
      <c r="E7" s="2" t="s">
        <v>618</v>
      </c>
      <c r="F7" s="2">
        <v>20</v>
      </c>
      <c r="G7" s="2" t="s">
        <v>564</v>
      </c>
      <c r="H7" s="2"/>
      <c r="I7" s="1"/>
      <c r="J7" s="1" t="str">
        <f t="shared" si="0"/>
        <v>RESOURCE_NO</v>
      </c>
      <c r="K7" s="1" t="str">
        <f t="shared" si="1"/>
        <v>NVARCHAR2</v>
      </c>
      <c r="L7" s="1" t="str">
        <f t="shared" si="2"/>
        <v>(</v>
      </c>
      <c r="M7" s="1">
        <f t="shared" si="3"/>
        <v>20</v>
      </c>
      <c r="N7" s="1" t="str">
        <f t="shared" si="4"/>
        <v>)</v>
      </c>
      <c r="O7" s="1" t="str">
        <f t="shared" si="5"/>
        <v/>
      </c>
      <c r="P7" s="1" t="str">
        <f t="shared" ref="P7:P18" si="6">IF(G7="N","NOT NULL","NULL")</f>
        <v>NOT NULL</v>
      </c>
      <c r="Q7" s="1" t="s">
        <v>113</v>
      </c>
      <c r="R7" s="1"/>
      <c r="S7" s="1" t="str">
        <f>"COMMENT ON COLUMN " &amp; C3 &amp; "." &amp; C7 &amp; " IS '" &amp; B7 &amp; "'"</f>
        <v>COMMENT ON COLUMN FEED_LABEL.RESOURCE_NO IS '제품명'</v>
      </c>
    </row>
    <row r="8" spans="1:19" x14ac:dyDescent="0.3">
      <c r="A8" s="2" t="s">
        <v>565</v>
      </c>
      <c r="B8" s="2" t="s">
        <v>601</v>
      </c>
      <c r="C8" s="2" t="s">
        <v>596</v>
      </c>
      <c r="D8" s="2"/>
      <c r="E8" s="2" t="s">
        <v>618</v>
      </c>
      <c r="F8" s="2">
        <v>50</v>
      </c>
      <c r="G8" s="2" t="s">
        <v>564</v>
      </c>
      <c r="H8" s="2"/>
      <c r="I8" s="1"/>
      <c r="J8" s="1" t="str">
        <f t="shared" si="0"/>
        <v>VERSION</v>
      </c>
      <c r="K8" s="1" t="str">
        <f t="shared" si="1"/>
        <v>NVARCHAR2</v>
      </c>
      <c r="L8" s="1" t="str">
        <f t="shared" si="2"/>
        <v>(</v>
      </c>
      <c r="M8" s="1">
        <f t="shared" si="3"/>
        <v>50</v>
      </c>
      <c r="N8" s="1" t="str">
        <f t="shared" si="4"/>
        <v>)</v>
      </c>
      <c r="O8" s="1" t="str">
        <f t="shared" si="5"/>
        <v/>
      </c>
      <c r="P8" s="1" t="str">
        <f t="shared" si="6"/>
        <v>NOT NULL</v>
      </c>
      <c r="Q8" s="1" t="s">
        <v>113</v>
      </c>
      <c r="R8" s="1"/>
      <c r="S8" s="1" t="str">
        <f>"COMMENT ON COLUMN " &amp; C3 &amp; "." &amp; C8 &amp; " IS '" &amp; B8 &amp; "'"</f>
        <v>COMMENT ON COLUMN FEED_LABEL.VERSION IS '버전'</v>
      </c>
    </row>
    <row r="9" spans="1:19" x14ac:dyDescent="0.3">
      <c r="A9" s="2"/>
      <c r="B9" s="2" t="s">
        <v>602</v>
      </c>
      <c r="C9" s="14" t="s">
        <v>597</v>
      </c>
      <c r="D9" s="14" t="s">
        <v>603</v>
      </c>
      <c r="E9" s="2" t="s">
        <v>618</v>
      </c>
      <c r="F9" s="2">
        <v>10</v>
      </c>
      <c r="G9" s="2" t="s">
        <v>565</v>
      </c>
      <c r="H9" s="2"/>
      <c r="I9" s="1"/>
      <c r="J9" s="1" t="str">
        <f t="shared" si="0"/>
        <v>LABEL_TYPE</v>
      </c>
      <c r="K9" s="1" t="str">
        <f t="shared" si="1"/>
        <v>NVARCHAR2</v>
      </c>
      <c r="L9" s="1" t="str">
        <f t="shared" si="2"/>
        <v>(</v>
      </c>
      <c r="M9" s="1">
        <f t="shared" si="3"/>
        <v>10</v>
      </c>
      <c r="N9" s="1" t="str">
        <f t="shared" si="4"/>
        <v>)</v>
      </c>
      <c r="O9" s="1" t="str">
        <f t="shared" si="5"/>
        <v/>
      </c>
      <c r="P9" s="1" t="str">
        <f t="shared" si="6"/>
        <v>NULL</v>
      </c>
      <c r="Q9" s="1" t="s">
        <v>113</v>
      </c>
      <c r="R9" s="1"/>
      <c r="S9" s="1" t="str">
        <f>"COMMENT ON COLUMN " &amp; C3 &amp; "." &amp; C9 &amp; " IS '" &amp; B9 &amp; "'"</f>
        <v>COMMENT ON COLUMN FEED_LABEL.LABEL_TYPE IS '라벨타입'</v>
      </c>
    </row>
    <row r="10" spans="1:19" x14ac:dyDescent="0.3">
      <c r="A10" s="2"/>
      <c r="B10" s="2" t="s">
        <v>605</v>
      </c>
      <c r="C10" s="14" t="s">
        <v>598</v>
      </c>
      <c r="D10" s="14" t="s">
        <v>604</v>
      </c>
      <c r="E10" s="2" t="s">
        <v>618</v>
      </c>
      <c r="F10" s="2">
        <v>50</v>
      </c>
      <c r="G10" s="2" t="s">
        <v>565</v>
      </c>
      <c r="H10" s="2"/>
      <c r="I10" s="1"/>
      <c r="J10" s="1" t="str">
        <f t="shared" si="0"/>
        <v>LABEL_GROUP</v>
      </c>
      <c r="K10" s="1" t="str">
        <f t="shared" si="1"/>
        <v>NVARCHAR2</v>
      </c>
      <c r="L10" s="1" t="str">
        <f t="shared" si="2"/>
        <v>(</v>
      </c>
      <c r="M10" s="1">
        <f t="shared" si="3"/>
        <v>50</v>
      </c>
      <c r="N10" s="1" t="str">
        <f t="shared" si="4"/>
        <v>)</v>
      </c>
      <c r="O10" s="1" t="str">
        <f t="shared" si="5"/>
        <v/>
      </c>
      <c r="P10" s="1" t="str">
        <f t="shared" si="6"/>
        <v>NULL</v>
      </c>
      <c r="Q10" s="1" t="s">
        <v>113</v>
      </c>
      <c r="R10" s="1"/>
      <c r="S10" s="1" t="str">
        <f>"COMMENT ON COLUMN " &amp; C3 &amp; "." &amp; C10 &amp; " IS '" &amp; B10 &amp; "'"</f>
        <v>COMMENT ON COLUMN FEED_LABEL.LABEL_GROUP IS '라벨그룹'</v>
      </c>
    </row>
    <row r="11" spans="1:19" x14ac:dyDescent="0.3">
      <c r="A11" s="2"/>
      <c r="B11" s="2" t="s">
        <v>606</v>
      </c>
      <c r="C11" s="14" t="s">
        <v>95</v>
      </c>
      <c r="D11" s="19"/>
      <c r="E11" s="2" t="s">
        <v>546</v>
      </c>
      <c r="F11" s="2"/>
      <c r="G11" s="2" t="s">
        <v>565</v>
      </c>
      <c r="H11" s="2"/>
      <c r="I11" s="1"/>
      <c r="J11" s="1" t="str">
        <f t="shared" si="0"/>
        <v>SEQ</v>
      </c>
      <c r="K11" s="1" t="str">
        <f t="shared" si="1"/>
        <v>NUMBER</v>
      </c>
      <c r="L11" s="1" t="str">
        <f t="shared" si="2"/>
        <v/>
      </c>
      <c r="M11" s="1" t="str">
        <f t="shared" si="3"/>
        <v/>
      </c>
      <c r="N11" s="1" t="str">
        <f t="shared" si="4"/>
        <v/>
      </c>
      <c r="O11" s="1" t="str">
        <f t="shared" si="5"/>
        <v/>
      </c>
      <c r="P11" s="1" t="str">
        <f t="shared" si="6"/>
        <v>NULL</v>
      </c>
      <c r="Q11" s="1" t="s">
        <v>113</v>
      </c>
      <c r="R11" s="1"/>
      <c r="S11" s="1" t="str">
        <f>"COMMENT ON COLUMN " &amp; C3 &amp; "." &amp; C11 &amp; " IS '" &amp; B11 &amp; "'"</f>
        <v>COMMENT ON COLUMN FEED_LABEL.SEQ IS '순번'</v>
      </c>
    </row>
    <row r="12" spans="1:19" x14ac:dyDescent="0.3">
      <c r="A12" s="2"/>
      <c r="B12" s="2" t="s">
        <v>607</v>
      </c>
      <c r="C12" s="2" t="s">
        <v>599</v>
      </c>
      <c r="D12" s="2"/>
      <c r="E12" s="2" t="s">
        <v>618</v>
      </c>
      <c r="F12" s="2">
        <v>100</v>
      </c>
      <c r="G12" s="2" t="s">
        <v>565</v>
      </c>
      <c r="H12" s="2"/>
      <c r="I12" s="1"/>
      <c r="J12" s="1" t="str">
        <f t="shared" si="0"/>
        <v>LABEL_NAME</v>
      </c>
      <c r="K12" s="1" t="str">
        <f t="shared" si="1"/>
        <v>NVARCHAR2</v>
      </c>
      <c r="L12" s="1" t="str">
        <f t="shared" si="2"/>
        <v>(</v>
      </c>
      <c r="M12" s="1">
        <f t="shared" si="3"/>
        <v>100</v>
      </c>
      <c r="N12" s="1" t="str">
        <f t="shared" si="4"/>
        <v>)</v>
      </c>
      <c r="O12" s="1" t="str">
        <f t="shared" si="5"/>
        <v/>
      </c>
      <c r="P12" s="1" t="str">
        <f t="shared" si="6"/>
        <v>NULL</v>
      </c>
      <c r="Q12" s="1" t="s">
        <v>113</v>
      </c>
      <c r="R12" s="1"/>
      <c r="S12" s="1" t="str">
        <f>"COMMENT ON COLUMN " &amp; C3 &amp; "." &amp; C12 &amp; " IS '" &amp; B12 &amp; "'"</f>
        <v>COMMENT ON COLUMN FEED_LABEL.LABEL_NAME IS '라벨명'</v>
      </c>
    </row>
    <row r="13" spans="1:19" x14ac:dyDescent="0.3">
      <c r="A13" s="2"/>
      <c r="B13" s="2" t="s">
        <v>608</v>
      </c>
      <c r="C13" s="2" t="s">
        <v>600</v>
      </c>
      <c r="D13" s="2"/>
      <c r="E13" s="2" t="s">
        <v>618</v>
      </c>
      <c r="F13" s="2">
        <v>250</v>
      </c>
      <c r="G13" s="2" t="s">
        <v>565</v>
      </c>
      <c r="H13" s="2"/>
      <c r="I13" s="1"/>
      <c r="J13" s="1" t="str">
        <f t="shared" si="0"/>
        <v>LABEL_VALUE</v>
      </c>
      <c r="K13" s="1" t="str">
        <f t="shared" si="1"/>
        <v>NVARCHAR2</v>
      </c>
      <c r="L13" s="1" t="str">
        <f t="shared" si="2"/>
        <v>(</v>
      </c>
      <c r="M13" s="1">
        <f t="shared" si="3"/>
        <v>250</v>
      </c>
      <c r="N13" s="1" t="str">
        <f t="shared" si="4"/>
        <v>)</v>
      </c>
      <c r="O13" s="1" t="str">
        <f t="shared" si="5"/>
        <v/>
      </c>
      <c r="P13" s="1" t="str">
        <f t="shared" si="6"/>
        <v>NULL</v>
      </c>
      <c r="Q13" s="1" t="s">
        <v>113</v>
      </c>
      <c r="R13" s="1"/>
      <c r="S13" s="1" t="str">
        <f>"COMMENT ON COLUMN " &amp; C3 &amp; "." &amp; C13 &amp; " IS '" &amp; B13 &amp; "'"</f>
        <v>COMMENT ON COLUMN FEED_LABEL.LABEL_VALUE IS '라벨내용'</v>
      </c>
    </row>
    <row r="14" spans="1:19" x14ac:dyDescent="0.3">
      <c r="A14" s="2"/>
      <c r="B14" s="2" t="s">
        <v>534</v>
      </c>
      <c r="C14" s="2" t="s">
        <v>217</v>
      </c>
      <c r="D14" s="2"/>
      <c r="E14" s="2" t="s">
        <v>563</v>
      </c>
      <c r="F14" s="2">
        <v>1</v>
      </c>
      <c r="G14" s="2" t="s">
        <v>565</v>
      </c>
      <c r="H14" s="18" t="s">
        <v>609</v>
      </c>
      <c r="I14" s="1"/>
      <c r="J14" s="1" t="str">
        <f t="shared" si="0"/>
        <v>USEFLAG</v>
      </c>
      <c r="K14" s="1" t="str">
        <f t="shared" si="1"/>
        <v>CHAR</v>
      </c>
      <c r="L14" s="1" t="str">
        <f t="shared" si="2"/>
        <v>(</v>
      </c>
      <c r="M14" s="1">
        <f t="shared" si="3"/>
        <v>1</v>
      </c>
      <c r="N14" s="1" t="str">
        <f t="shared" si="4"/>
        <v>)</v>
      </c>
      <c r="O14" s="1" t="str">
        <f t="shared" si="5"/>
        <v>DEFAULT 'Y'</v>
      </c>
      <c r="P14" s="1" t="str">
        <f t="shared" si="6"/>
        <v>NULL</v>
      </c>
      <c r="Q14" s="1" t="s">
        <v>113</v>
      </c>
      <c r="R14" s="1"/>
      <c r="S14" s="1" t="str">
        <f>"COMMENT ON COLUMN " &amp; C3 &amp; "." &amp; C14 &amp; " IS '" &amp; B14 &amp; "'"</f>
        <v>COMMENT ON COLUMN FEED_LABEL.USEFLAG IS '사용여부'</v>
      </c>
    </row>
    <row r="15" spans="1:19" x14ac:dyDescent="0.3">
      <c r="A15" s="2"/>
      <c r="B15" s="2" t="s">
        <v>111</v>
      </c>
      <c r="C15" s="2" t="s">
        <v>790</v>
      </c>
      <c r="D15" s="2" t="s">
        <v>188</v>
      </c>
      <c r="E15" s="2" t="s">
        <v>618</v>
      </c>
      <c r="F15" s="2">
        <v>20</v>
      </c>
      <c r="G15" s="2" t="s">
        <v>90</v>
      </c>
      <c r="H15" s="18"/>
      <c r="I15" s="1"/>
      <c r="J15" s="1" t="str">
        <f>""&amp;C15&amp;""</f>
        <v>INITBY</v>
      </c>
      <c r="K15" s="1" t="str">
        <f>""&amp;E15&amp;""</f>
        <v>NVARCHAR2</v>
      </c>
      <c r="L15" s="1" t="str">
        <f t="shared" si="2"/>
        <v>(</v>
      </c>
      <c r="M15" s="1">
        <f t="shared" si="3"/>
        <v>20</v>
      </c>
      <c r="N15" s="1" t="str">
        <f t="shared" si="4"/>
        <v>)</v>
      </c>
      <c r="O15" s="1" t="str">
        <f t="shared" si="5"/>
        <v/>
      </c>
      <c r="P15" s="1" t="str">
        <f t="shared" si="6"/>
        <v>NOT NULL</v>
      </c>
      <c r="Q15" s="1" t="s">
        <v>113</v>
      </c>
      <c r="R15" s="1"/>
      <c r="S15" s="1" t="str">
        <f>"COMMENT ON COLUMN " &amp; C3 &amp; "." &amp; C15 &amp; " IS '" &amp; B15 &amp; "'"</f>
        <v>COMMENT ON COLUMN FEED_LABEL.INITBY IS '입력자'</v>
      </c>
    </row>
    <row r="16" spans="1:19" x14ac:dyDescent="0.3">
      <c r="A16" s="2"/>
      <c r="B16" s="2" t="s">
        <v>254</v>
      </c>
      <c r="C16" s="2" t="s">
        <v>791</v>
      </c>
      <c r="D16" s="2" t="s">
        <v>254</v>
      </c>
      <c r="E16" s="2" t="s">
        <v>228</v>
      </c>
      <c r="F16" s="2"/>
      <c r="G16" s="2" t="s">
        <v>90</v>
      </c>
      <c r="H16" s="2" t="s">
        <v>570</v>
      </c>
      <c r="I16" s="1"/>
      <c r="J16" s="1" t="str">
        <f>""&amp;C16&amp;""</f>
        <v>INITDTTM</v>
      </c>
      <c r="K16" s="1" t="str">
        <f>""&amp;E16&amp;""</f>
        <v>DATE</v>
      </c>
      <c r="L16" s="1" t="str">
        <f t="shared" si="2"/>
        <v/>
      </c>
      <c r="M16" s="1" t="str">
        <f t="shared" si="3"/>
        <v/>
      </c>
      <c r="N16" s="1" t="str">
        <f t="shared" si="4"/>
        <v/>
      </c>
      <c r="O16" s="1" t="str">
        <f t="shared" si="5"/>
        <v>DEFAULT SYSDATE</v>
      </c>
      <c r="P16" s="1" t="str">
        <f t="shared" si="6"/>
        <v>NOT NULL</v>
      </c>
      <c r="Q16" s="1" t="s">
        <v>113</v>
      </c>
      <c r="R16" s="1"/>
      <c r="S16" s="1" t="str">
        <f>"COMMENT ON COLUMN " &amp; C3 &amp; "." &amp; C16 &amp; " IS '" &amp; B16 &amp; "'"</f>
        <v>COMMENT ON COLUMN FEED_LABEL.INITDTTM IS '입력일시'</v>
      </c>
    </row>
    <row r="17" spans="1:19" x14ac:dyDescent="0.3">
      <c r="A17" s="2"/>
      <c r="B17" s="2" t="s">
        <v>99</v>
      </c>
      <c r="C17" s="2" t="s">
        <v>793</v>
      </c>
      <c r="D17" s="2" t="s">
        <v>197</v>
      </c>
      <c r="E17" s="2" t="s">
        <v>618</v>
      </c>
      <c r="F17" s="2">
        <v>20</v>
      </c>
      <c r="G17" s="2" t="s">
        <v>122</v>
      </c>
      <c r="H17" s="18"/>
      <c r="I17" s="1"/>
      <c r="J17" s="1" t="str">
        <f>""&amp;C17&amp;""</f>
        <v>UPBY</v>
      </c>
      <c r="K17" s="1" t="str">
        <f>""&amp;E17&amp;""</f>
        <v>NVARCHAR2</v>
      </c>
      <c r="L17" s="1" t="str">
        <f t="shared" si="2"/>
        <v>(</v>
      </c>
      <c r="M17" s="1">
        <f t="shared" si="3"/>
        <v>20</v>
      </c>
      <c r="N17" s="1" t="str">
        <f t="shared" si="4"/>
        <v>)</v>
      </c>
      <c r="O17" s="1" t="str">
        <f t="shared" si="5"/>
        <v/>
      </c>
      <c r="P17" s="1" t="str">
        <f t="shared" si="6"/>
        <v>NULL</v>
      </c>
      <c r="Q17" s="1" t="s">
        <v>113</v>
      </c>
      <c r="R17" s="1"/>
      <c r="S17" s="1" t="str">
        <f>"COMMENT ON COLUMN " &amp; C3 &amp; "." &amp; C17 &amp; " IS '" &amp; B17 &amp; "'"</f>
        <v>COMMENT ON COLUMN FEED_LABEL.UPBY IS '수정자'</v>
      </c>
    </row>
    <row r="18" spans="1:19" x14ac:dyDescent="0.3">
      <c r="A18" s="2"/>
      <c r="B18" s="2" t="s">
        <v>259</v>
      </c>
      <c r="C18" s="2" t="s">
        <v>792</v>
      </c>
      <c r="D18" s="2" t="s">
        <v>259</v>
      </c>
      <c r="E18" s="2" t="s">
        <v>228</v>
      </c>
      <c r="F18" s="2"/>
      <c r="G18" s="2" t="s">
        <v>122</v>
      </c>
      <c r="H18" s="2"/>
      <c r="I18" s="1"/>
      <c r="J18" s="1" t="str">
        <f>""&amp;C18&amp;""</f>
        <v>UPDTTM</v>
      </c>
      <c r="K18" s="1" t="str">
        <f>""&amp;E18&amp;""</f>
        <v>DATE</v>
      </c>
      <c r="L18" s="1" t="str">
        <f t="shared" si="2"/>
        <v/>
      </c>
      <c r="M18" s="1" t="str">
        <f t="shared" si="3"/>
        <v/>
      </c>
      <c r="N18" s="1" t="str">
        <f t="shared" si="4"/>
        <v/>
      </c>
      <c r="O18" s="1" t="str">
        <f t="shared" si="5"/>
        <v/>
      </c>
      <c r="P18" s="1" t="str">
        <f t="shared" si="6"/>
        <v>NULL</v>
      </c>
      <c r="Q18" s="21" t="s">
        <v>723</v>
      </c>
      <c r="R18" s="1"/>
      <c r="S18" s="1" t="str">
        <f>"COMMENT ON COLUMN " &amp; C3 &amp; "." &amp; C18 &amp; " IS '" &amp; B18 &amp; "'"</f>
        <v>COMMENT ON COLUMN FEED_LABEL.UPDTTM IS '수정일시'</v>
      </c>
    </row>
    <row r="19" spans="1:19" x14ac:dyDescent="0.3">
      <c r="J19" s="13" t="str">
        <f>"ALTER TABLE "&amp;C3&amp;""</f>
        <v>ALTER TABLE FEED_LABEL</v>
      </c>
    </row>
    <row r="20" spans="1:19" x14ac:dyDescent="0.3">
      <c r="J20" s="13" t="str" cm="1">
        <f t="array" ref="J20">"ADD CONSTRAINT PK_"&amp;C3&amp;"
PRIMARY KEY (" &amp; _xlfn.TEXTJOIN(", ", TRUE, _xlfn._xlws.FILTER(C6:C55, A6:A55="Y")) &amp; ")"</f>
        <v>ADD CONSTRAINT PK_FEED_LABEL
PRIMARY KEY (PLANT_CODE, RESOURCE_NO, VERSION)</v>
      </c>
    </row>
  </sheetData>
  <phoneticPr fontId="7" type="noConversion"/>
  <hyperlinks>
    <hyperlink ref="A1" location="리스트!A1" display="리스트로 이동" xr:uid="{6A3EDA65-3BE4-4255-A961-E1862B7D1B6B}"/>
  </hyperlinks>
  <pageMargins left="0.74805557727813721" right="0.74805557727813721" top="0.98430556058883667" bottom="0.98430556058883667" header="0.51166665554046631" footer="0.51166665554046631"/>
  <pageSetup paperSize="9" fitToWidth="0" fitToHeight="0" orientation="portrait" horizontalDpi="0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3"/>
  <dimension ref="A1:S35"/>
  <sheetViews>
    <sheetView zoomScaleNormal="100" zoomScaleSheetLayoutView="100" workbookViewId="0">
      <selection activeCell="J3" sqref="J3:Q3"/>
    </sheetView>
  </sheetViews>
  <sheetFormatPr defaultColWidth="9" defaultRowHeight="16.5" x14ac:dyDescent="0.3"/>
  <cols>
    <col min="1" max="1" width="8.625" bestFit="1" customWidth="1"/>
    <col min="2" max="2" width="13.75" bestFit="1" customWidth="1"/>
    <col min="3" max="3" width="14.125" bestFit="1" customWidth="1"/>
    <col min="4" max="4" width="20.375" customWidth="1"/>
    <col min="5" max="5" width="12.75" bestFit="1" customWidth="1"/>
    <col min="6" max="6" width="6.75" bestFit="1" customWidth="1"/>
    <col min="7" max="7" width="9" bestFit="1" customWidth="1"/>
    <col min="9" max="10" width="16.875" customWidth="1"/>
    <col min="11" max="11" width="1.625" bestFit="1" customWidth="1"/>
    <col min="12" max="12" width="3" bestFit="1" customWidth="1"/>
    <col min="13" max="13" width="1.625" bestFit="1" customWidth="1"/>
    <col min="14" max="14" width="10.125" bestFit="1" customWidth="1"/>
    <col min="15" max="15" width="16.875" customWidth="1"/>
    <col min="16" max="16" width="10.125" bestFit="1" customWidth="1"/>
  </cols>
  <sheetData>
    <row r="1" spans="1:19" x14ac:dyDescent="0.3">
      <c r="A1" s="16" t="s">
        <v>615</v>
      </c>
    </row>
    <row r="2" spans="1:19" x14ac:dyDescent="0.3">
      <c r="A2" s="2"/>
      <c r="B2" s="2" t="s">
        <v>116</v>
      </c>
      <c r="C2" s="2" t="s">
        <v>119</v>
      </c>
      <c r="D2" s="2" t="s">
        <v>112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3">
      <c r="A3" s="2"/>
      <c r="B3" s="2" t="s">
        <v>337</v>
      </c>
      <c r="C3" s="2" t="s">
        <v>284</v>
      </c>
      <c r="D3" s="2"/>
      <c r="E3" s="1"/>
      <c r="F3" s="1"/>
      <c r="G3" s="1"/>
      <c r="H3" s="1"/>
      <c r="I3" s="1"/>
      <c r="J3" s="13" t="str">
        <f>"DROP TABLE "&amp;C3&amp;" CASCADE CONSTRAINTS PURGE"</f>
        <v>DROP TABLE EQUIPMENT CASCADE CONSTRAINTS PURGE</v>
      </c>
      <c r="K3" s="1"/>
      <c r="L3" s="1"/>
      <c r="M3" s="1"/>
      <c r="N3" s="1"/>
      <c r="O3" s="1"/>
      <c r="P3" s="21"/>
      <c r="Q3" s="21" t="s">
        <v>771</v>
      </c>
      <c r="R3" s="1"/>
      <c r="S3" s="1"/>
    </row>
    <row r="4" spans="1:19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3">
      <c r="A5" s="2" t="s">
        <v>88</v>
      </c>
      <c r="B5" s="2" t="s">
        <v>215</v>
      </c>
      <c r="C5" s="2" t="s">
        <v>252</v>
      </c>
      <c r="D5" s="2" t="s">
        <v>169</v>
      </c>
      <c r="E5" s="2" t="s">
        <v>265</v>
      </c>
      <c r="F5" s="2" t="s">
        <v>101</v>
      </c>
      <c r="G5" s="2" t="s">
        <v>205</v>
      </c>
      <c r="H5" s="2" t="s">
        <v>569</v>
      </c>
      <c r="I5" s="1"/>
      <c r="J5" s="1" t="str">
        <f>"CREATE TABLE "&amp;C3&amp;" ("</f>
        <v>CREATE TABLE EQUIPMENT (</v>
      </c>
      <c r="K5" s="1"/>
      <c r="L5" s="1"/>
      <c r="M5" s="1"/>
      <c r="N5" s="1"/>
      <c r="O5" s="1"/>
      <c r="P5" s="1"/>
      <c r="Q5" s="1"/>
      <c r="R5" s="1"/>
      <c r="S5" s="1" t="str">
        <f>"COMMENT ON TABLE " &amp; C3 &amp; " IS '" &amp; SUBSTITUTE(B3,"'","''") &amp; "'"</f>
        <v>COMMENT ON TABLE EQUIPMENT IS '설비'</v>
      </c>
    </row>
    <row r="6" spans="1:19" s="1" customFormat="1" x14ac:dyDescent="0.3">
      <c r="A6" s="2" t="s">
        <v>565</v>
      </c>
      <c r="B6" s="2" t="s">
        <v>556</v>
      </c>
      <c r="C6" s="12" t="s">
        <v>653</v>
      </c>
      <c r="D6" s="2" t="s">
        <v>53</v>
      </c>
      <c r="E6" s="2" t="s">
        <v>618</v>
      </c>
      <c r="F6" s="2">
        <v>10</v>
      </c>
      <c r="G6" s="2" t="s">
        <v>565</v>
      </c>
      <c r="H6" s="2"/>
      <c r="J6" s="1" t="str">
        <f t="shared" ref="J6:J29" si="0">""&amp;C6&amp;""</f>
        <v>PLANT_CODE</v>
      </c>
      <c r="K6" s="1" t="str">
        <f t="shared" ref="K6:K29" si="1">""&amp;E6&amp;""</f>
        <v>NVARCHAR2</v>
      </c>
      <c r="L6" s="1" t="str">
        <f t="shared" ref="L6:L33" si="2">IF(F6="","","(")</f>
        <v>(</v>
      </c>
      <c r="M6" s="1">
        <f t="shared" ref="M6:M33" si="3">IF(F6="","",F6)</f>
        <v>10</v>
      </c>
      <c r="N6" s="1" t="str">
        <f t="shared" ref="N6:N33" si="4">IF(F6="","",")")</f>
        <v>)</v>
      </c>
      <c r="O6" s="1" t="str">
        <f t="shared" ref="O6:O33" si="5">IF(H6&lt;&gt;"","DEFAULT "&amp;H6,"")</f>
        <v/>
      </c>
      <c r="P6" s="1" t="str">
        <f>IF(G6="N","NOT NULL","NULL")</f>
        <v>NULL</v>
      </c>
      <c r="Q6" s="1" t="s">
        <v>113</v>
      </c>
      <c r="R6"/>
      <c r="S6" s="1" t="str">
        <f>"COMMENT ON COLUMN " &amp; C2 &amp; "." &amp; C6 &amp; " IS '" &amp; B6 &amp; "'"</f>
        <v>COMMENT ON COLUMN 영문.PLANT_CODE IS '플랜트코드'</v>
      </c>
    </row>
    <row r="7" spans="1:19" s="1" customFormat="1" x14ac:dyDescent="0.3">
      <c r="A7" s="2"/>
      <c r="B7" s="2" t="s">
        <v>245</v>
      </c>
      <c r="C7" s="2" t="s">
        <v>291</v>
      </c>
      <c r="D7" s="2" t="s">
        <v>53</v>
      </c>
      <c r="E7" s="2" t="s">
        <v>618</v>
      </c>
      <c r="F7" s="2">
        <v>10</v>
      </c>
      <c r="G7" s="2" t="s">
        <v>565</v>
      </c>
      <c r="H7" s="2"/>
      <c r="J7" s="1" t="str">
        <f t="shared" si="0"/>
        <v>PROCESS_CODE</v>
      </c>
      <c r="K7" s="1" t="str">
        <f t="shared" si="1"/>
        <v>NVARCHAR2</v>
      </c>
      <c r="L7" s="1" t="str">
        <f t="shared" si="2"/>
        <v>(</v>
      </c>
      <c r="M7" s="1">
        <f t="shared" si="3"/>
        <v>10</v>
      </c>
      <c r="N7" s="1" t="str">
        <f t="shared" si="4"/>
        <v>)</v>
      </c>
      <c r="O7" s="1" t="str">
        <f t="shared" si="5"/>
        <v/>
      </c>
      <c r="P7" s="1" t="str">
        <f>IF(G7="N","NOT NULL","NULL")</f>
        <v>NULL</v>
      </c>
      <c r="Q7" s="1" t="s">
        <v>113</v>
      </c>
      <c r="R7"/>
      <c r="S7" s="1" t="str">
        <f>"COMMENT ON COLUMN " &amp; C3 &amp; "." &amp; C7 &amp; " IS '" &amp; B7 &amp; "'"</f>
        <v>COMMENT ON COLUMN EQUIPMENT.PROCESS_CODE IS '공정코드'</v>
      </c>
    </row>
    <row r="8" spans="1:19" s="1" customFormat="1" x14ac:dyDescent="0.3">
      <c r="A8" s="2"/>
      <c r="B8" s="2" t="s">
        <v>333</v>
      </c>
      <c r="C8" s="12" t="s">
        <v>683</v>
      </c>
      <c r="D8" s="2" t="s">
        <v>378</v>
      </c>
      <c r="E8" s="2" t="s">
        <v>618</v>
      </c>
      <c r="F8" s="2">
        <v>10</v>
      </c>
      <c r="G8" s="2" t="s">
        <v>565</v>
      </c>
      <c r="H8" s="2"/>
      <c r="J8" s="1" t="str">
        <f t="shared" si="0"/>
        <v>EQUIP_CODE</v>
      </c>
      <c r="K8" s="1" t="str">
        <f t="shared" si="1"/>
        <v>NVARCHAR2</v>
      </c>
      <c r="L8" s="1" t="str">
        <f t="shared" si="2"/>
        <v>(</v>
      </c>
      <c r="M8" s="1">
        <f t="shared" si="3"/>
        <v>10</v>
      </c>
      <c r="N8" s="1" t="str">
        <f t="shared" si="4"/>
        <v>)</v>
      </c>
      <c r="O8" s="1" t="str">
        <f t="shared" si="5"/>
        <v/>
      </c>
      <c r="P8" s="1" t="str">
        <f t="shared" ref="P8:P33" si="6">IF(G8="N","NOT NULL","NULL")</f>
        <v>NULL</v>
      </c>
      <c r="Q8" s="1" t="s">
        <v>113</v>
      </c>
      <c r="S8" s="1" t="str">
        <f>"COMMENT ON COLUMN " &amp; C3 &amp; "." &amp; C8 &amp; " IS '" &amp; B8 &amp; "'"</f>
        <v>COMMENT ON COLUMN EQUIPMENT.EQUIP_CODE IS '설비코드'</v>
      </c>
    </row>
    <row r="9" spans="1:19" s="1" customFormat="1" x14ac:dyDescent="0.3">
      <c r="A9" s="2"/>
      <c r="B9" s="2" t="s">
        <v>374</v>
      </c>
      <c r="C9" s="2" t="s">
        <v>462</v>
      </c>
      <c r="D9" s="2" t="s">
        <v>374</v>
      </c>
      <c r="E9" s="2" t="s">
        <v>618</v>
      </c>
      <c r="F9" s="2">
        <v>50</v>
      </c>
      <c r="G9" s="2" t="s">
        <v>565</v>
      </c>
      <c r="H9" s="2"/>
      <c r="J9" s="1" t="str">
        <f t="shared" si="0"/>
        <v>EQUIP_NAME</v>
      </c>
      <c r="K9" s="1" t="str">
        <f t="shared" si="1"/>
        <v>NVARCHAR2</v>
      </c>
      <c r="L9" s="1" t="str">
        <f t="shared" si="2"/>
        <v>(</v>
      </c>
      <c r="M9" s="1">
        <f t="shared" si="3"/>
        <v>50</v>
      </c>
      <c r="N9" s="1" t="str">
        <f t="shared" si="4"/>
        <v>)</v>
      </c>
      <c r="O9" s="1" t="str">
        <f t="shared" si="5"/>
        <v/>
      </c>
      <c r="P9" s="1" t="str">
        <f t="shared" si="6"/>
        <v>NULL</v>
      </c>
      <c r="Q9" s="1" t="s">
        <v>113</v>
      </c>
      <c r="S9" s="1" t="str">
        <f>"COMMENT ON COLUMN " &amp; C3 &amp; "." &amp; C9 &amp; " IS '" &amp; B9 &amp; "'"</f>
        <v>COMMENT ON COLUMN EQUIPMENT.EQUIP_NAME IS '설비명'</v>
      </c>
    </row>
    <row r="10" spans="1:19" s="1" customFormat="1" x14ac:dyDescent="0.3">
      <c r="A10" s="2"/>
      <c r="B10" s="2" t="s">
        <v>296</v>
      </c>
      <c r="C10" s="2" t="s">
        <v>427</v>
      </c>
      <c r="D10" s="2" t="s">
        <v>296</v>
      </c>
      <c r="E10" s="2" t="s">
        <v>618</v>
      </c>
      <c r="F10" s="2">
        <v>20</v>
      </c>
      <c r="G10" s="2" t="s">
        <v>565</v>
      </c>
      <c r="H10" s="2"/>
      <c r="J10" s="1" t="str">
        <f t="shared" si="0"/>
        <v>LOCATION</v>
      </c>
      <c r="K10" s="1" t="str">
        <f t="shared" si="1"/>
        <v>NVARCHAR2</v>
      </c>
      <c r="L10" s="1" t="str">
        <f t="shared" si="2"/>
        <v>(</v>
      </c>
      <c r="M10" s="1">
        <f t="shared" si="3"/>
        <v>20</v>
      </c>
      <c r="N10" s="1" t="str">
        <f t="shared" si="4"/>
        <v>)</v>
      </c>
      <c r="O10" s="1" t="str">
        <f t="shared" si="5"/>
        <v/>
      </c>
      <c r="P10" s="1" t="str">
        <f t="shared" si="6"/>
        <v>NULL</v>
      </c>
      <c r="Q10" s="1" t="s">
        <v>113</v>
      </c>
      <c r="S10" s="1" t="str">
        <f>"COMMENT ON COLUMN " &amp; C3 &amp; "." &amp; C10 &amp; " IS '" &amp; B10 &amp; "'"</f>
        <v>COMMENT ON COLUMN EQUIPMENT.LOCATION IS '설비위치'</v>
      </c>
    </row>
    <row r="11" spans="1:19" s="1" customFormat="1" x14ac:dyDescent="0.3">
      <c r="A11" s="2"/>
      <c r="B11" s="2" t="s">
        <v>441</v>
      </c>
      <c r="C11" s="2"/>
      <c r="D11" s="2"/>
      <c r="E11" s="2" t="s">
        <v>618</v>
      </c>
      <c r="F11" s="2">
        <v>10</v>
      </c>
      <c r="G11" s="2" t="s">
        <v>565</v>
      </c>
      <c r="H11" s="2"/>
      <c r="J11" s="1" t="str">
        <f t="shared" si="0"/>
        <v/>
      </c>
      <c r="K11" s="1" t="str">
        <f t="shared" si="1"/>
        <v>NVARCHAR2</v>
      </c>
      <c r="L11" s="1" t="str">
        <f t="shared" si="2"/>
        <v>(</v>
      </c>
      <c r="M11" s="1">
        <f t="shared" si="3"/>
        <v>10</v>
      </c>
      <c r="N11" s="1" t="str">
        <f t="shared" si="4"/>
        <v>)</v>
      </c>
      <c r="O11" s="1" t="str">
        <f t="shared" si="5"/>
        <v/>
      </c>
      <c r="P11" s="1" t="str">
        <f t="shared" si="6"/>
        <v>NULL</v>
      </c>
      <c r="Q11" s="1" t="s">
        <v>113</v>
      </c>
      <c r="S11" s="1" t="str">
        <f>"COMMENT ON COLUMN " &amp; C3 &amp; "." &amp; C11 &amp; " IS '" &amp; B11 &amp; "'"</f>
        <v>COMMENT ON COLUMN EQUIPMENT. IS '구입일'</v>
      </c>
    </row>
    <row r="12" spans="1:19" s="1" customFormat="1" x14ac:dyDescent="0.3">
      <c r="A12" s="2"/>
      <c r="B12" s="2" t="s">
        <v>525</v>
      </c>
      <c r="C12" s="2"/>
      <c r="D12" s="2"/>
      <c r="E12" s="2" t="s">
        <v>618</v>
      </c>
      <c r="F12" s="2">
        <v>10</v>
      </c>
      <c r="G12" s="2" t="s">
        <v>565</v>
      </c>
      <c r="H12" s="2"/>
      <c r="J12" s="1" t="str">
        <f t="shared" si="0"/>
        <v/>
      </c>
      <c r="K12" s="1" t="str">
        <f t="shared" si="1"/>
        <v>NVARCHAR2</v>
      </c>
      <c r="L12" s="1" t="str">
        <f t="shared" si="2"/>
        <v>(</v>
      </c>
      <c r="M12" s="1">
        <f t="shared" si="3"/>
        <v>10</v>
      </c>
      <c r="N12" s="1" t="str">
        <f t="shared" si="4"/>
        <v>)</v>
      </c>
      <c r="O12" s="1" t="str">
        <f t="shared" si="5"/>
        <v/>
      </c>
      <c r="P12" s="1" t="str">
        <f t="shared" si="6"/>
        <v>NULL</v>
      </c>
      <c r="Q12" s="1" t="s">
        <v>113</v>
      </c>
      <c r="S12" s="1" t="str">
        <f>"COMMENT ON COLUMN " &amp; C3 &amp; "." &amp; C12 &amp; " IS '" &amp; B12 &amp; "'"</f>
        <v>COMMENT ON COLUMN EQUIPMENT. IS '시리얼번호'</v>
      </c>
    </row>
    <row r="13" spans="1:19" s="1" customFormat="1" x14ac:dyDescent="0.3">
      <c r="A13" s="2"/>
      <c r="B13" s="2" t="s">
        <v>442</v>
      </c>
      <c r="C13" s="2"/>
      <c r="D13" s="2"/>
      <c r="E13" s="2" t="s">
        <v>618</v>
      </c>
      <c r="F13" s="2">
        <v>50</v>
      </c>
      <c r="G13" s="2" t="s">
        <v>565</v>
      </c>
      <c r="H13" s="2"/>
      <c r="J13" s="1" t="str">
        <f t="shared" si="0"/>
        <v/>
      </c>
      <c r="K13" s="1" t="str">
        <f t="shared" si="1"/>
        <v>NVARCHAR2</v>
      </c>
      <c r="L13" s="1" t="str">
        <f t="shared" si="2"/>
        <v>(</v>
      </c>
      <c r="M13" s="1">
        <f t="shared" si="3"/>
        <v>50</v>
      </c>
      <c r="N13" s="1" t="str">
        <f t="shared" si="4"/>
        <v>)</v>
      </c>
      <c r="O13" s="1" t="str">
        <f t="shared" si="5"/>
        <v/>
      </c>
      <c r="P13" s="1" t="str">
        <f t="shared" si="6"/>
        <v>NULL</v>
      </c>
      <c r="Q13" s="1" t="s">
        <v>113</v>
      </c>
      <c r="S13" s="1" t="str">
        <f>"COMMENT ON COLUMN " &amp; C3 &amp; "." &amp; C13 &amp; " IS '" &amp; B13 &amp; "'"</f>
        <v>COMMENT ON COLUMN EQUIPMENT. IS '모델'</v>
      </c>
    </row>
    <row r="14" spans="1:19" s="1" customFormat="1" x14ac:dyDescent="0.3">
      <c r="A14" s="2"/>
      <c r="B14" s="2" t="s">
        <v>430</v>
      </c>
      <c r="C14" s="2"/>
      <c r="D14" s="2"/>
      <c r="E14" s="2" t="s">
        <v>618</v>
      </c>
      <c r="F14" s="2">
        <v>20</v>
      </c>
      <c r="G14" s="2" t="s">
        <v>565</v>
      </c>
      <c r="H14" s="2"/>
      <c r="J14" s="1" t="str">
        <f t="shared" si="0"/>
        <v/>
      </c>
      <c r="K14" s="1" t="str">
        <f t="shared" si="1"/>
        <v>NVARCHAR2</v>
      </c>
      <c r="L14" s="1" t="str">
        <f t="shared" si="2"/>
        <v>(</v>
      </c>
      <c r="M14" s="1">
        <f t="shared" si="3"/>
        <v>20</v>
      </c>
      <c r="N14" s="1" t="str">
        <f t="shared" si="4"/>
        <v>)</v>
      </c>
      <c r="O14" s="1" t="str">
        <f t="shared" si="5"/>
        <v/>
      </c>
      <c r="P14" s="1" t="str">
        <f t="shared" si="6"/>
        <v>NULL</v>
      </c>
      <c r="Q14" s="1" t="s">
        <v>113</v>
      </c>
      <c r="S14" s="1" t="str">
        <f>"COMMENT ON COLUMN " &amp; C3 &amp; "." &amp; C14 &amp; " IS '" &amp; B14 &amp; "'"</f>
        <v>COMMENT ON COLUMN EQUIPMENT. IS '규격'</v>
      </c>
    </row>
    <row r="15" spans="1:19" s="1" customFormat="1" x14ac:dyDescent="0.3">
      <c r="A15" s="2"/>
      <c r="B15" s="2" t="s">
        <v>1</v>
      </c>
      <c r="C15" s="2"/>
      <c r="D15" s="2"/>
      <c r="E15" s="2" t="s">
        <v>618</v>
      </c>
      <c r="F15" s="2">
        <v>10</v>
      </c>
      <c r="G15" s="2" t="s">
        <v>565</v>
      </c>
      <c r="H15" s="2"/>
      <c r="J15" s="1" t="str">
        <f t="shared" si="0"/>
        <v/>
      </c>
      <c r="K15" s="1" t="str">
        <f t="shared" si="1"/>
        <v>NVARCHAR2</v>
      </c>
      <c r="L15" s="1" t="str">
        <f t="shared" si="2"/>
        <v>(</v>
      </c>
      <c r="M15" s="1">
        <f t="shared" si="3"/>
        <v>10</v>
      </c>
      <c r="N15" s="1" t="str">
        <f t="shared" si="4"/>
        <v>)</v>
      </c>
      <c r="O15" s="1" t="str">
        <f t="shared" si="5"/>
        <v/>
      </c>
      <c r="P15" s="1" t="str">
        <f t="shared" si="6"/>
        <v>NULL</v>
      </c>
      <c r="Q15" s="1" t="s">
        <v>113</v>
      </c>
      <c r="S15" s="1" t="str">
        <f>"COMMENT ON COLUMN " &amp; C3 &amp; "." &amp; C15 &amp; " IS '" &amp; B15 &amp; "'"</f>
        <v>COMMENT ON COLUMN EQUIPMENT. IS '구입회사'</v>
      </c>
    </row>
    <row r="16" spans="1:19" s="1" customFormat="1" x14ac:dyDescent="0.3">
      <c r="A16" s="2"/>
      <c r="B16" s="2" t="s">
        <v>495</v>
      </c>
      <c r="C16" s="2"/>
      <c r="D16" s="2"/>
      <c r="E16" s="2" t="s">
        <v>618</v>
      </c>
      <c r="F16" s="2">
        <v>10</v>
      </c>
      <c r="G16" s="2" t="s">
        <v>565</v>
      </c>
      <c r="H16" s="2"/>
      <c r="J16" s="1" t="str">
        <f t="shared" si="0"/>
        <v/>
      </c>
      <c r="K16" s="1" t="str">
        <f t="shared" si="1"/>
        <v>NVARCHAR2</v>
      </c>
      <c r="L16" s="1" t="str">
        <f t="shared" si="2"/>
        <v>(</v>
      </c>
      <c r="M16" s="1">
        <f t="shared" si="3"/>
        <v>10</v>
      </c>
      <c r="N16" s="1" t="str">
        <f t="shared" si="4"/>
        <v>)</v>
      </c>
      <c r="O16" s="1" t="str">
        <f t="shared" si="5"/>
        <v/>
      </c>
      <c r="P16" s="1" t="str">
        <f t="shared" si="6"/>
        <v>NULL</v>
      </c>
      <c r="Q16" s="1" t="s">
        <v>113</v>
      </c>
      <c r="S16" s="1" t="str">
        <f>"COMMENT ON COLUMN " &amp; C3 &amp; "." &amp; C16 &amp; " IS '" &amp; B16 &amp; "'"</f>
        <v>COMMENT ON COLUMN EQUIPMENT. IS '유틸리티'</v>
      </c>
    </row>
    <row r="17" spans="1:19" s="1" customFormat="1" x14ac:dyDescent="0.3">
      <c r="A17" s="2"/>
      <c r="B17" s="2" t="s">
        <v>9</v>
      </c>
      <c r="C17" s="2"/>
      <c r="D17" s="2"/>
      <c r="E17" s="2" t="s">
        <v>618</v>
      </c>
      <c r="F17" s="2">
        <v>50</v>
      </c>
      <c r="G17" s="2" t="s">
        <v>565</v>
      </c>
      <c r="H17" s="2"/>
      <c r="J17" s="1" t="str">
        <f t="shared" si="0"/>
        <v/>
      </c>
      <c r="K17" s="1" t="str">
        <f t="shared" si="1"/>
        <v>NVARCHAR2</v>
      </c>
      <c r="L17" s="1" t="str">
        <f t="shared" si="2"/>
        <v>(</v>
      </c>
      <c r="M17" s="1">
        <f t="shared" si="3"/>
        <v>50</v>
      </c>
      <c r="N17" s="1" t="str">
        <f t="shared" si="4"/>
        <v>)</v>
      </c>
      <c r="O17" s="1" t="str">
        <f t="shared" si="5"/>
        <v/>
      </c>
      <c r="P17" s="1" t="str">
        <f t="shared" si="6"/>
        <v>NULL</v>
      </c>
      <c r="Q17" s="1" t="s">
        <v>113</v>
      </c>
      <c r="S17" s="1" t="str">
        <f>"COMMENT ON COLUMN " &amp; C3 &amp; "." &amp; C17 &amp; " IS '" &amp; B17 &amp; "'"</f>
        <v>COMMENT ON COLUMN EQUIPMENT. IS '용량'</v>
      </c>
    </row>
    <row r="18" spans="1:19" s="1" customFormat="1" x14ac:dyDescent="0.3">
      <c r="A18" s="2"/>
      <c r="B18" s="2" t="s">
        <v>436</v>
      </c>
      <c r="C18" s="2"/>
      <c r="D18" s="2"/>
      <c r="E18" s="2" t="s">
        <v>618</v>
      </c>
      <c r="F18" s="2">
        <v>20</v>
      </c>
      <c r="G18" s="2" t="s">
        <v>565</v>
      </c>
      <c r="H18" s="2"/>
      <c r="J18" s="1" t="str">
        <f t="shared" si="0"/>
        <v/>
      </c>
      <c r="K18" s="1" t="str">
        <f t="shared" si="1"/>
        <v>NVARCHAR2</v>
      </c>
      <c r="L18" s="1" t="str">
        <f t="shared" si="2"/>
        <v>(</v>
      </c>
      <c r="M18" s="1">
        <f t="shared" si="3"/>
        <v>20</v>
      </c>
      <c r="N18" s="1" t="str">
        <f t="shared" si="4"/>
        <v>)</v>
      </c>
      <c r="O18" s="1" t="str">
        <f t="shared" si="5"/>
        <v/>
      </c>
      <c r="P18" s="1" t="str">
        <f t="shared" si="6"/>
        <v>NULL</v>
      </c>
      <c r="Q18" s="1" t="s">
        <v>113</v>
      </c>
      <c r="S18" s="1" t="str">
        <f>"COMMENT ON COLUMN " &amp; C3 &amp; "." &amp; C18 &amp; " IS '" &amp; B18 &amp; "'"</f>
        <v>COMMENT ON COLUMN EQUIPMENT. IS '보전회사'</v>
      </c>
    </row>
    <row r="19" spans="1:19" s="1" customFormat="1" x14ac:dyDescent="0.3">
      <c r="A19" s="2"/>
      <c r="B19" s="2" t="s">
        <v>511</v>
      </c>
      <c r="C19" s="2"/>
      <c r="D19" s="2"/>
      <c r="E19" s="2" t="s">
        <v>618</v>
      </c>
      <c r="F19" s="2">
        <v>10</v>
      </c>
      <c r="G19" s="2" t="s">
        <v>565</v>
      </c>
      <c r="H19" s="2"/>
      <c r="J19" s="1" t="str">
        <f t="shared" si="0"/>
        <v/>
      </c>
      <c r="K19" s="1" t="str">
        <f t="shared" si="1"/>
        <v>NVARCHAR2</v>
      </c>
      <c r="L19" s="1" t="str">
        <f t="shared" si="2"/>
        <v>(</v>
      </c>
      <c r="M19" s="1">
        <f t="shared" si="3"/>
        <v>10</v>
      </c>
      <c r="N19" s="1" t="str">
        <f t="shared" si="4"/>
        <v>)</v>
      </c>
      <c r="O19" s="1" t="str">
        <f t="shared" si="5"/>
        <v/>
      </c>
      <c r="P19" s="1" t="str">
        <f t="shared" si="6"/>
        <v>NULL</v>
      </c>
      <c r="Q19" s="1" t="s">
        <v>113</v>
      </c>
      <c r="S19" s="1" t="str">
        <f>"COMMENT ON COLUMN " &amp; C3 &amp; "." &amp; C19 &amp; " IS '" &amp; B19 &amp; "'"</f>
        <v>COMMENT ON COLUMN EQUIPMENT. IS '불용처리일'</v>
      </c>
    </row>
    <row r="20" spans="1:19" s="1" customFormat="1" x14ac:dyDescent="0.3">
      <c r="A20" s="2"/>
      <c r="B20" s="2" t="s">
        <v>508</v>
      </c>
      <c r="C20" s="2"/>
      <c r="D20" s="2"/>
      <c r="E20" s="2" t="s">
        <v>618</v>
      </c>
      <c r="F20" s="2">
        <v>10</v>
      </c>
      <c r="G20" s="2" t="s">
        <v>565</v>
      </c>
      <c r="H20" s="2"/>
      <c r="J20" s="1" t="str">
        <f t="shared" si="0"/>
        <v/>
      </c>
      <c r="K20" s="1" t="str">
        <f t="shared" si="1"/>
        <v>NVARCHAR2</v>
      </c>
      <c r="L20" s="1" t="str">
        <f t="shared" si="2"/>
        <v>(</v>
      </c>
      <c r="M20" s="1">
        <f t="shared" si="3"/>
        <v>10</v>
      </c>
      <c r="N20" s="1" t="str">
        <f t="shared" si="4"/>
        <v>)</v>
      </c>
      <c r="O20" s="1" t="str">
        <f t="shared" si="5"/>
        <v/>
      </c>
      <c r="P20" s="1" t="str">
        <f t="shared" si="6"/>
        <v>NULL</v>
      </c>
      <c r="Q20" s="1" t="s">
        <v>113</v>
      </c>
      <c r="S20" s="1" t="str">
        <f>"COMMENT ON COLUMN " &amp; C3 &amp; "." &amp; C20 &amp; " IS '" &amp; B20 &amp; "'"</f>
        <v>COMMENT ON COLUMN EQUIPMENT. IS '불용사유'</v>
      </c>
    </row>
    <row r="21" spans="1:19" s="1" customFormat="1" x14ac:dyDescent="0.3">
      <c r="A21" s="2"/>
      <c r="B21" s="2" t="s">
        <v>480</v>
      </c>
      <c r="C21" s="2"/>
      <c r="D21" s="2"/>
      <c r="E21" s="2" t="s">
        <v>618</v>
      </c>
      <c r="F21" s="2">
        <v>50</v>
      </c>
      <c r="G21" s="2" t="s">
        <v>565</v>
      </c>
      <c r="H21" s="2"/>
      <c r="J21" s="1" t="str">
        <f t="shared" si="0"/>
        <v/>
      </c>
      <c r="K21" s="1" t="str">
        <f t="shared" si="1"/>
        <v>NVARCHAR2</v>
      </c>
      <c r="L21" s="1" t="str">
        <f t="shared" si="2"/>
        <v>(</v>
      </c>
      <c r="M21" s="1">
        <f t="shared" si="3"/>
        <v>50</v>
      </c>
      <c r="N21" s="1" t="str">
        <f t="shared" si="4"/>
        <v>)</v>
      </c>
      <c r="O21" s="1" t="str">
        <f t="shared" si="5"/>
        <v/>
      </c>
      <c r="P21" s="1" t="str">
        <f t="shared" si="6"/>
        <v>NULL</v>
      </c>
      <c r="Q21" s="1" t="s">
        <v>113</v>
      </c>
      <c r="S21" s="1" t="str">
        <f>"COMMENT ON COLUMN " &amp; C3 &amp; "." &amp; C21 &amp; " IS '" &amp; B21 &amp; "'"</f>
        <v>COMMENT ON COLUMN EQUIPMENT. IS '원화금액'</v>
      </c>
    </row>
    <row r="22" spans="1:19" s="1" customFormat="1" x14ac:dyDescent="0.3">
      <c r="A22" s="2"/>
      <c r="B22" s="2" t="s">
        <v>506</v>
      </c>
      <c r="C22" s="2"/>
      <c r="D22" s="2"/>
      <c r="E22" s="2" t="s">
        <v>618</v>
      </c>
      <c r="F22" s="2">
        <v>20</v>
      </c>
      <c r="G22" s="2" t="s">
        <v>565</v>
      </c>
      <c r="H22" s="2"/>
      <c r="J22" s="1" t="str">
        <f t="shared" si="0"/>
        <v/>
      </c>
      <c r="K22" s="1" t="str">
        <f t="shared" si="1"/>
        <v>NVARCHAR2</v>
      </c>
      <c r="L22" s="1" t="str">
        <f t="shared" si="2"/>
        <v>(</v>
      </c>
      <c r="M22" s="1">
        <f t="shared" si="3"/>
        <v>20</v>
      </c>
      <c r="N22" s="1" t="str">
        <f t="shared" si="4"/>
        <v>)</v>
      </c>
      <c r="O22" s="1" t="str">
        <f t="shared" si="5"/>
        <v/>
      </c>
      <c r="P22" s="1" t="str">
        <f t="shared" si="6"/>
        <v>NULL</v>
      </c>
      <c r="Q22" s="1" t="s">
        <v>113</v>
      </c>
      <c r="S22" s="1" t="str">
        <f>"COMMENT ON COLUMN " &amp; C3 &amp; "." &amp; C22 &amp; " IS '" &amp; B22 &amp; "'"</f>
        <v>COMMENT ON COLUMN EQUIPMENT. IS '보전주기'</v>
      </c>
    </row>
    <row r="23" spans="1:19" s="1" customFormat="1" x14ac:dyDescent="0.3">
      <c r="A23" s="2"/>
      <c r="B23" s="2" t="s">
        <v>431</v>
      </c>
      <c r="C23" s="2"/>
      <c r="D23" s="2"/>
      <c r="E23" s="2" t="s">
        <v>618</v>
      </c>
      <c r="F23" s="2">
        <v>50</v>
      </c>
      <c r="G23" s="2" t="s">
        <v>565</v>
      </c>
      <c r="H23" s="2"/>
      <c r="J23" s="1" t="str">
        <f t="shared" si="0"/>
        <v/>
      </c>
      <c r="K23" s="1" t="str">
        <f t="shared" si="1"/>
        <v>NVARCHAR2</v>
      </c>
      <c r="L23" s="1" t="str">
        <f t="shared" si="2"/>
        <v>(</v>
      </c>
      <c r="M23" s="1">
        <f t="shared" si="3"/>
        <v>50</v>
      </c>
      <c r="N23" s="1" t="str">
        <f t="shared" si="4"/>
        <v>)</v>
      </c>
      <c r="O23" s="1" t="str">
        <f t="shared" si="5"/>
        <v/>
      </c>
      <c r="P23" s="1" t="str">
        <f t="shared" si="6"/>
        <v>NULL</v>
      </c>
      <c r="Q23" s="1" t="s">
        <v>113</v>
      </c>
      <c r="S23" s="1" t="str">
        <f>"COMMENT ON COLUMN " &amp; C3 &amp; "." &amp; C23 &amp; " IS '" &amp; B23 &amp; "'"</f>
        <v>COMMENT ON COLUMN EQUIPMENT. IS '비고'</v>
      </c>
    </row>
    <row r="24" spans="1:19" s="1" customFormat="1" x14ac:dyDescent="0.3">
      <c r="A24" s="2"/>
      <c r="B24" s="2" t="s">
        <v>443</v>
      </c>
      <c r="C24" s="2"/>
      <c r="D24" s="2"/>
      <c r="E24" s="2" t="s">
        <v>618</v>
      </c>
      <c r="F24" s="2">
        <v>20</v>
      </c>
      <c r="G24" s="2" t="s">
        <v>565</v>
      </c>
      <c r="H24" s="2"/>
      <c r="J24" s="1" t="str">
        <f t="shared" si="0"/>
        <v/>
      </c>
      <c r="K24" s="1" t="str">
        <f t="shared" si="1"/>
        <v>NVARCHAR2</v>
      </c>
      <c r="L24" s="1" t="str">
        <f t="shared" si="2"/>
        <v>(</v>
      </c>
      <c r="M24" s="1">
        <f t="shared" si="3"/>
        <v>20</v>
      </c>
      <c r="N24" s="1" t="str">
        <f t="shared" si="4"/>
        <v>)</v>
      </c>
      <c r="O24" s="1" t="str">
        <f t="shared" si="5"/>
        <v/>
      </c>
      <c r="P24" s="1" t="str">
        <f t="shared" si="6"/>
        <v>NULL</v>
      </c>
      <c r="Q24" s="1" t="s">
        <v>113</v>
      </c>
      <c r="S24" s="1" t="str">
        <f>"COMMENT ON COLUMN " &amp; C3 &amp; "." &amp; C24 &amp; " IS '" &amp; B24 &amp; "'"</f>
        <v>COMMENT ON COLUMN EQUIPMENT. IS '제작처'</v>
      </c>
    </row>
    <row r="25" spans="1:19" x14ac:dyDescent="0.3">
      <c r="A25" s="2"/>
      <c r="B25" s="2" t="s">
        <v>513</v>
      </c>
      <c r="C25" s="2"/>
      <c r="D25" s="2"/>
      <c r="E25" s="2" t="s">
        <v>618</v>
      </c>
      <c r="F25" s="2">
        <v>10</v>
      </c>
      <c r="G25" s="2" t="s">
        <v>565</v>
      </c>
      <c r="H25" s="2"/>
      <c r="I25" s="1"/>
      <c r="J25" s="1" t="str">
        <f t="shared" si="0"/>
        <v/>
      </c>
      <c r="K25" s="1" t="str">
        <f t="shared" si="1"/>
        <v>NVARCHAR2</v>
      </c>
      <c r="L25" s="1" t="str">
        <f t="shared" si="2"/>
        <v>(</v>
      </c>
      <c r="M25" s="1">
        <f t="shared" si="3"/>
        <v>10</v>
      </c>
      <c r="N25" s="1" t="str">
        <f t="shared" si="4"/>
        <v>)</v>
      </c>
      <c r="O25" s="1" t="str">
        <f t="shared" si="5"/>
        <v/>
      </c>
      <c r="P25" s="1" t="str">
        <f t="shared" si="6"/>
        <v>NULL</v>
      </c>
      <c r="Q25" s="1" t="s">
        <v>113</v>
      </c>
      <c r="R25" s="1"/>
      <c r="S25" s="1" t="str">
        <f>"COMMENT ON COLUMN " &amp; C3 &amp; "." &amp; C25 &amp; " IS '" &amp; B25 &amp; "'"</f>
        <v>COMMENT ON COLUMN EQUIPMENT. IS '자산상태'</v>
      </c>
    </row>
    <row r="26" spans="1:19" x14ac:dyDescent="0.3">
      <c r="A26" s="2"/>
      <c r="B26" s="2" t="s">
        <v>12</v>
      </c>
      <c r="C26" s="2"/>
      <c r="D26" s="2"/>
      <c r="E26" s="2" t="s">
        <v>618</v>
      </c>
      <c r="F26" s="2">
        <v>10</v>
      </c>
      <c r="G26" s="2" t="s">
        <v>565</v>
      </c>
      <c r="H26" s="2"/>
      <c r="I26" s="1"/>
      <c r="J26" s="1" t="str">
        <f t="shared" si="0"/>
        <v/>
      </c>
      <c r="K26" s="1" t="str">
        <f t="shared" si="1"/>
        <v>NVARCHAR2</v>
      </c>
      <c r="L26" s="1" t="str">
        <f t="shared" si="2"/>
        <v>(</v>
      </c>
      <c r="M26" s="1">
        <f t="shared" si="3"/>
        <v>10</v>
      </c>
      <c r="N26" s="1" t="str">
        <f t="shared" si="4"/>
        <v>)</v>
      </c>
      <c r="O26" s="1" t="str">
        <f t="shared" si="5"/>
        <v/>
      </c>
      <c r="P26" s="1" t="str">
        <f t="shared" si="6"/>
        <v>NULL</v>
      </c>
      <c r="Q26" s="1" t="s">
        <v>113</v>
      </c>
      <c r="R26" s="1"/>
      <c r="S26" s="1" t="str">
        <f>"COMMENT ON COLUMN " &amp; C3 &amp; "." &amp; C26 &amp; " IS '" &amp; B26 &amp; "'"</f>
        <v>COMMENT ON COLUMN EQUIPMENT. IS '설비소분류'</v>
      </c>
    </row>
    <row r="27" spans="1:19" s="1" customFormat="1" x14ac:dyDescent="0.3">
      <c r="A27" s="2"/>
      <c r="B27" s="2" t="s">
        <v>509</v>
      </c>
      <c r="C27" s="2"/>
      <c r="D27" s="2"/>
      <c r="E27" s="2" t="s">
        <v>618</v>
      </c>
      <c r="F27" s="2">
        <v>50</v>
      </c>
      <c r="G27" s="2" t="s">
        <v>565</v>
      </c>
      <c r="H27" s="2"/>
      <c r="J27" s="1" t="str">
        <f t="shared" si="0"/>
        <v/>
      </c>
      <c r="K27" s="1" t="str">
        <f t="shared" si="1"/>
        <v>NVARCHAR2</v>
      </c>
      <c r="L27" s="1" t="str">
        <f t="shared" si="2"/>
        <v>(</v>
      </c>
      <c r="M27" s="1">
        <f t="shared" si="3"/>
        <v>50</v>
      </c>
      <c r="N27" s="1" t="str">
        <f t="shared" si="4"/>
        <v>)</v>
      </c>
      <c r="O27" s="1" t="str">
        <f t="shared" si="5"/>
        <v/>
      </c>
      <c r="P27" s="1" t="str">
        <f t="shared" si="6"/>
        <v>NULL</v>
      </c>
      <c r="Q27" s="1" t="s">
        <v>113</v>
      </c>
      <c r="S27" s="1" t="str">
        <f>"COMMENT ON COLUMN " &amp; C3 &amp; "." &amp; C27 &amp; " IS '" &amp; B27 &amp; "'"</f>
        <v>COMMENT ON COLUMN EQUIPMENT. IS '설비구분'</v>
      </c>
    </row>
    <row r="28" spans="1:19" x14ac:dyDescent="0.3">
      <c r="A28" s="2"/>
      <c r="B28" s="2" t="s">
        <v>309</v>
      </c>
      <c r="C28" s="2"/>
      <c r="D28" s="2"/>
      <c r="E28" s="2" t="s">
        <v>618</v>
      </c>
      <c r="F28" s="2">
        <v>20</v>
      </c>
      <c r="G28" s="2" t="s">
        <v>565</v>
      </c>
      <c r="H28" s="2"/>
      <c r="I28" s="1"/>
      <c r="J28" s="1" t="str">
        <f t="shared" si="0"/>
        <v/>
      </c>
      <c r="K28" s="1" t="str">
        <f t="shared" si="1"/>
        <v>NVARCHAR2</v>
      </c>
      <c r="L28" s="1" t="str">
        <f t="shared" si="2"/>
        <v>(</v>
      </c>
      <c r="M28" s="1">
        <f t="shared" si="3"/>
        <v>20</v>
      </c>
      <c r="N28" s="1" t="str">
        <f t="shared" si="4"/>
        <v>)</v>
      </c>
      <c r="O28" s="1" t="str">
        <f t="shared" si="5"/>
        <v/>
      </c>
      <c r="P28" s="1" t="str">
        <f t="shared" si="6"/>
        <v>NULL</v>
      </c>
      <c r="Q28" s="1" t="s">
        <v>113</v>
      </c>
      <c r="R28" s="1"/>
      <c r="S28" s="1" t="str">
        <f>"COMMENT ON COLUMN " &amp; C3 &amp; "." &amp; C28 &amp; " IS '" &amp; B28 &amp; "'"</f>
        <v>COMMENT ON COLUMN EQUIPMENT. IS '등급'</v>
      </c>
    </row>
    <row r="29" spans="1:19" x14ac:dyDescent="0.3">
      <c r="A29" s="2"/>
      <c r="B29" s="2" t="s">
        <v>514</v>
      </c>
      <c r="C29" s="2"/>
      <c r="D29" s="2"/>
      <c r="E29" s="2" t="s">
        <v>618</v>
      </c>
      <c r="F29" s="2">
        <v>20</v>
      </c>
      <c r="G29" s="2" t="s">
        <v>565</v>
      </c>
      <c r="H29" s="2"/>
      <c r="I29" s="1"/>
      <c r="J29" s="1" t="str">
        <f t="shared" si="0"/>
        <v/>
      </c>
      <c r="K29" s="1" t="str">
        <f t="shared" si="1"/>
        <v>NVARCHAR2</v>
      </c>
      <c r="L29" s="1" t="str">
        <f t="shared" si="2"/>
        <v>(</v>
      </c>
      <c r="M29" s="1">
        <f t="shared" si="3"/>
        <v>20</v>
      </c>
      <c r="N29" s="1" t="str">
        <f t="shared" si="4"/>
        <v>)</v>
      </c>
      <c r="O29" s="1" t="str">
        <f t="shared" si="5"/>
        <v/>
      </c>
      <c r="P29" s="1" t="str">
        <f t="shared" si="6"/>
        <v>NULL</v>
      </c>
      <c r="Q29" s="1" t="s">
        <v>113</v>
      </c>
      <c r="R29" s="1"/>
      <c r="S29" s="1" t="str">
        <f>"COMMENT ON COLUMN " &amp; C3 &amp; "." &amp; C29 &amp; " IS '" &amp; B29 &amp; "'"</f>
        <v>COMMENT ON COLUMN EQUIPMENT. IS '등급결정일'</v>
      </c>
    </row>
    <row r="30" spans="1:19" x14ac:dyDescent="0.3">
      <c r="A30" s="2"/>
      <c r="B30" s="2" t="s">
        <v>111</v>
      </c>
      <c r="C30" s="2" t="s">
        <v>790</v>
      </c>
      <c r="D30" s="2" t="s">
        <v>188</v>
      </c>
      <c r="E30" s="2" t="s">
        <v>618</v>
      </c>
      <c r="F30" s="2">
        <v>20</v>
      </c>
      <c r="G30" s="2" t="s">
        <v>90</v>
      </c>
      <c r="H30" s="18"/>
      <c r="I30" s="1"/>
      <c r="J30" s="1" t="str">
        <f>""&amp;C30&amp;""</f>
        <v>INITBY</v>
      </c>
      <c r="K30" s="1" t="str">
        <f>""&amp;E30&amp;""</f>
        <v>NVARCHAR2</v>
      </c>
      <c r="L30" s="1" t="str">
        <f t="shared" si="2"/>
        <v>(</v>
      </c>
      <c r="M30" s="1">
        <f t="shared" si="3"/>
        <v>20</v>
      </c>
      <c r="N30" s="1" t="str">
        <f t="shared" si="4"/>
        <v>)</v>
      </c>
      <c r="O30" s="1" t="str">
        <f t="shared" si="5"/>
        <v/>
      </c>
      <c r="P30" s="1" t="str">
        <f t="shared" si="6"/>
        <v>NOT NULL</v>
      </c>
      <c r="Q30" s="1" t="s">
        <v>113</v>
      </c>
      <c r="R30" s="1"/>
      <c r="S30" s="1" t="str">
        <f>"COMMENT ON COLUMN " &amp; C3 &amp; "." &amp; C30 &amp; " IS '" &amp; B30 &amp; "'"</f>
        <v>COMMENT ON COLUMN EQUIPMENT.INITBY IS '입력자'</v>
      </c>
    </row>
    <row r="31" spans="1:19" x14ac:dyDescent="0.3">
      <c r="A31" s="2"/>
      <c r="B31" s="2" t="s">
        <v>254</v>
      </c>
      <c r="C31" s="2" t="s">
        <v>791</v>
      </c>
      <c r="D31" s="2" t="s">
        <v>254</v>
      </c>
      <c r="E31" s="2" t="s">
        <v>228</v>
      </c>
      <c r="F31" s="2"/>
      <c r="G31" s="2" t="s">
        <v>90</v>
      </c>
      <c r="H31" s="2" t="s">
        <v>570</v>
      </c>
      <c r="I31" s="1"/>
      <c r="J31" s="1" t="str">
        <f>""&amp;C31&amp;""</f>
        <v>INITDTTM</v>
      </c>
      <c r="K31" s="1" t="str">
        <f>""&amp;E31&amp;""</f>
        <v>DATE</v>
      </c>
      <c r="L31" s="1" t="str">
        <f t="shared" si="2"/>
        <v/>
      </c>
      <c r="M31" s="1" t="str">
        <f t="shared" si="3"/>
        <v/>
      </c>
      <c r="N31" s="1" t="str">
        <f t="shared" si="4"/>
        <v/>
      </c>
      <c r="O31" s="1" t="str">
        <f t="shared" si="5"/>
        <v>DEFAULT SYSDATE</v>
      </c>
      <c r="P31" s="1" t="str">
        <f t="shared" si="6"/>
        <v>NOT NULL</v>
      </c>
      <c r="Q31" s="1" t="s">
        <v>113</v>
      </c>
      <c r="R31" s="1"/>
      <c r="S31" s="1" t="str">
        <f>"COMMENT ON COLUMN " &amp; C3 &amp; "." &amp; C31 &amp; " IS '" &amp; B31 &amp; "'"</f>
        <v>COMMENT ON COLUMN EQUIPMENT.INITDTTM IS '입력일시'</v>
      </c>
    </row>
    <row r="32" spans="1:19" x14ac:dyDescent="0.3">
      <c r="A32" s="2"/>
      <c r="B32" s="2" t="s">
        <v>99</v>
      </c>
      <c r="C32" s="2" t="s">
        <v>793</v>
      </c>
      <c r="D32" s="2" t="s">
        <v>197</v>
      </c>
      <c r="E32" s="2" t="s">
        <v>618</v>
      </c>
      <c r="F32" s="2">
        <v>20</v>
      </c>
      <c r="G32" s="2" t="s">
        <v>122</v>
      </c>
      <c r="H32" s="18"/>
      <c r="I32" s="1"/>
      <c r="J32" s="1" t="str">
        <f>""&amp;C32&amp;""</f>
        <v>UPBY</v>
      </c>
      <c r="K32" s="1" t="str">
        <f>""&amp;E32&amp;""</f>
        <v>NVARCHAR2</v>
      </c>
      <c r="L32" s="1" t="str">
        <f t="shared" si="2"/>
        <v>(</v>
      </c>
      <c r="M32" s="1">
        <f t="shared" si="3"/>
        <v>20</v>
      </c>
      <c r="N32" s="1" t="str">
        <f t="shared" si="4"/>
        <v>)</v>
      </c>
      <c r="O32" s="1" t="str">
        <f t="shared" si="5"/>
        <v/>
      </c>
      <c r="P32" s="1" t="str">
        <f t="shared" si="6"/>
        <v>NULL</v>
      </c>
      <c r="Q32" s="1" t="s">
        <v>113</v>
      </c>
      <c r="R32" s="1"/>
      <c r="S32" s="1" t="str">
        <f>"COMMENT ON COLUMN " &amp; C3 &amp; "." &amp; C32 &amp; " IS '" &amp; B32 &amp; "'"</f>
        <v>COMMENT ON COLUMN EQUIPMENT.UPBY IS '수정자'</v>
      </c>
    </row>
    <row r="33" spans="1:19" x14ac:dyDescent="0.3">
      <c r="A33" s="2"/>
      <c r="B33" s="2" t="s">
        <v>259</v>
      </c>
      <c r="C33" s="2" t="s">
        <v>792</v>
      </c>
      <c r="D33" s="2" t="s">
        <v>259</v>
      </c>
      <c r="E33" s="2" t="s">
        <v>228</v>
      </c>
      <c r="F33" s="2"/>
      <c r="G33" s="2" t="s">
        <v>122</v>
      </c>
      <c r="H33" s="2"/>
      <c r="I33" s="1"/>
      <c r="J33" s="1" t="str">
        <f>""&amp;C33&amp;""</f>
        <v>UPDTTM</v>
      </c>
      <c r="K33" s="1" t="str">
        <f>""&amp;E33&amp;""</f>
        <v>DATE</v>
      </c>
      <c r="L33" s="1" t="str">
        <f t="shared" si="2"/>
        <v/>
      </c>
      <c r="M33" s="1" t="str">
        <f t="shared" si="3"/>
        <v/>
      </c>
      <c r="N33" s="1" t="str">
        <f t="shared" si="4"/>
        <v/>
      </c>
      <c r="O33" s="1" t="str">
        <f t="shared" si="5"/>
        <v/>
      </c>
      <c r="P33" s="1" t="str">
        <f t="shared" si="6"/>
        <v>NULL</v>
      </c>
      <c r="Q33" s="21" t="s">
        <v>723</v>
      </c>
      <c r="R33" s="1"/>
      <c r="S33" s="1" t="str">
        <f>"COMMENT ON COLUMN " &amp; C3 &amp; "." &amp; C33 &amp; " IS '" &amp; B33 &amp; "'"</f>
        <v>COMMENT ON COLUMN EQUIPMENT.UPDTTM IS '수정일시'</v>
      </c>
    </row>
    <row r="34" spans="1:19" x14ac:dyDescent="0.3">
      <c r="J34" s="13" t="str">
        <f>"ALTER TABLE "&amp;C3&amp;""</f>
        <v>ALTER TABLE EQUIPMENT</v>
      </c>
    </row>
    <row r="35" spans="1:19" x14ac:dyDescent="0.3">
      <c r="J35" s="13" t="e" cm="1" vm="1">
        <f t="array" ref="J35">"ADD CONSTRAINT PK_"&amp;C3&amp;" PRIMARY KEY (" &amp; _xlfn.TEXTJOIN(", ", TRUE, _xlfn._xlws.FILTER(C7:C78, A7:A78="Y")) &amp; ")"</f>
        <v>#VALUE!</v>
      </c>
    </row>
  </sheetData>
  <phoneticPr fontId="7" type="noConversion"/>
  <hyperlinks>
    <hyperlink ref="A1" location="리스트!A1" display="리스트로 이동" xr:uid="{211F3417-E1A1-468D-8EF4-8E93C3658408}"/>
  </hyperlinks>
  <pageMargins left="0.74805557727813721" right="0.74805557727813721" top="0.98430556058883667" bottom="0.98430556058883667" header="0.51166665554046631" footer="0.51166665554046631"/>
  <pageSetup paperSize="9" fitToWidth="0" fitToHeight="0" orientation="portrait" horizontalDpi="0" verticalDpi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0"/>
  <dimension ref="A1:S28"/>
  <sheetViews>
    <sheetView zoomScaleNormal="100" zoomScaleSheetLayoutView="100" workbookViewId="0">
      <selection activeCell="J3" sqref="J3:Q3"/>
    </sheetView>
  </sheetViews>
  <sheetFormatPr defaultColWidth="9" defaultRowHeight="16.5" x14ac:dyDescent="0.3"/>
  <cols>
    <col min="1" max="1" width="8.625" bestFit="1" customWidth="1"/>
    <col min="2" max="2" width="13.75" bestFit="1" customWidth="1"/>
    <col min="3" max="3" width="17.125" bestFit="1" customWidth="1"/>
    <col min="4" max="4" width="28.375" bestFit="1" customWidth="1"/>
    <col min="5" max="5" width="12.75" bestFit="1" customWidth="1"/>
    <col min="6" max="6" width="6.75" bestFit="1" customWidth="1"/>
    <col min="7" max="7" width="9" bestFit="1" customWidth="1"/>
    <col min="9" max="9" width="16.875" customWidth="1"/>
    <col min="10" max="10" width="11.125" bestFit="1" customWidth="1"/>
    <col min="11" max="11" width="1.625" bestFit="1" customWidth="1"/>
    <col min="12" max="12" width="5.125" bestFit="1" customWidth="1"/>
    <col min="13" max="13" width="4.875" customWidth="1"/>
    <col min="14" max="15" width="10.125" bestFit="1" customWidth="1"/>
    <col min="16" max="16" width="16.875" customWidth="1"/>
  </cols>
  <sheetData>
    <row r="1" spans="1:19" x14ac:dyDescent="0.3">
      <c r="A1" s="16" t="s">
        <v>615</v>
      </c>
    </row>
    <row r="2" spans="1:19" x14ac:dyDescent="0.3">
      <c r="A2" s="2"/>
      <c r="B2" s="2" t="s">
        <v>116</v>
      </c>
      <c r="C2" s="2" t="s">
        <v>119</v>
      </c>
      <c r="D2" s="2" t="s">
        <v>112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3">
      <c r="A3" s="2"/>
      <c r="B3" s="2" t="s">
        <v>44</v>
      </c>
      <c r="C3" s="2" t="s">
        <v>152</v>
      </c>
      <c r="D3" s="2"/>
      <c r="E3" s="1"/>
      <c r="F3" s="1"/>
      <c r="G3" s="1"/>
      <c r="H3" s="1"/>
      <c r="I3" s="1"/>
      <c r="J3" s="13" t="str">
        <f>"DROP TABLE "&amp;C3&amp;" CASCADE CONSTRAINTS PURGE"</f>
        <v>DROP TABLE CUSTOMERS CASCADE CONSTRAINTS PURGE</v>
      </c>
      <c r="K3" s="1"/>
      <c r="L3" s="1"/>
      <c r="M3" s="1"/>
      <c r="N3" s="1"/>
      <c r="O3" s="1"/>
      <c r="P3" s="21"/>
      <c r="Q3" s="21" t="s">
        <v>771</v>
      </c>
      <c r="R3" s="1"/>
      <c r="S3" s="1"/>
    </row>
    <row r="4" spans="1:19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3">
      <c r="A5" s="2" t="s">
        <v>88</v>
      </c>
      <c r="B5" s="2" t="s">
        <v>215</v>
      </c>
      <c r="C5" s="2" t="s">
        <v>252</v>
      </c>
      <c r="D5" s="2" t="s">
        <v>169</v>
      </c>
      <c r="E5" s="2" t="s">
        <v>265</v>
      </c>
      <c r="F5" s="2" t="s">
        <v>101</v>
      </c>
      <c r="G5" s="2" t="s">
        <v>205</v>
      </c>
      <c r="H5" s="2" t="s">
        <v>569</v>
      </c>
      <c r="I5" s="1"/>
      <c r="J5" s="1" t="str">
        <f>"CREATE TABLE "&amp;C3&amp;" ("</f>
        <v>CREATE TABLE CUSTOMERS (</v>
      </c>
      <c r="K5" s="1"/>
      <c r="L5" s="1"/>
      <c r="M5" s="1"/>
      <c r="N5" s="1"/>
      <c r="O5" s="1"/>
      <c r="P5" s="1"/>
      <c r="Q5" s="1"/>
      <c r="R5" s="1"/>
      <c r="S5" s="1" t="str">
        <f>"COMMENT ON TABLE " &amp; C3 &amp; " IS '" &amp; SUBSTITUTE(B3,"'","''") &amp; "'"</f>
        <v>COMMENT ON TABLE CUSTOMERS IS '고객사관리'</v>
      </c>
    </row>
    <row r="6" spans="1:19" x14ac:dyDescent="0.3">
      <c r="A6" s="2" t="s">
        <v>122</v>
      </c>
      <c r="B6" s="2" t="s">
        <v>35</v>
      </c>
      <c r="C6" s="2" t="s">
        <v>528</v>
      </c>
      <c r="D6" s="2" t="s">
        <v>52</v>
      </c>
      <c r="E6" s="2" t="s">
        <v>618</v>
      </c>
      <c r="F6" s="2">
        <v>10</v>
      </c>
      <c r="G6" s="2" t="s">
        <v>90</v>
      </c>
      <c r="H6" s="2"/>
      <c r="I6" s="1"/>
      <c r="J6" s="1" t="str">
        <f t="shared" ref="J6:J22" si="0">""&amp;C6&amp;""</f>
        <v>PLANT_CODE</v>
      </c>
      <c r="K6" s="1" t="str">
        <f t="shared" ref="K6:K22" si="1">""&amp;E6&amp;""</f>
        <v>NVARCHAR2</v>
      </c>
      <c r="L6" s="1" t="str">
        <f t="shared" ref="L6:L26" si="2">IF(F6="","","(")</f>
        <v>(</v>
      </c>
      <c r="M6" s="1">
        <f t="shared" ref="M6:M26" si="3">IF(F6="","",F6)</f>
        <v>10</v>
      </c>
      <c r="N6" s="1" t="str">
        <f t="shared" ref="N6:N26" si="4">IF(F6="","",")")</f>
        <v>)</v>
      </c>
      <c r="O6" s="1" t="str">
        <f>IF(G6="N","NOT NULL","NULL")</f>
        <v>NOT NULL</v>
      </c>
      <c r="P6" s="1" t="str">
        <f>IF(H6&lt;&gt;"","DEFAULT "&amp;H6,"")</f>
        <v/>
      </c>
      <c r="Q6" s="1" t="s">
        <v>113</v>
      </c>
      <c r="S6" s="1" t="str">
        <f>"COMMENT ON COLUMN " &amp; C3 &amp; "." &amp; C6 &amp; " IS '" &amp; B6 &amp; "'"</f>
        <v>COMMENT ON COLUMN CUSTOMERS.PLANT_CODE IS '고객사코드'</v>
      </c>
    </row>
    <row r="7" spans="1:19" x14ac:dyDescent="0.3">
      <c r="A7" s="2" t="s">
        <v>565</v>
      </c>
      <c r="B7" s="2" t="s">
        <v>40</v>
      </c>
      <c r="C7" s="2" t="s">
        <v>178</v>
      </c>
      <c r="D7" s="2" t="s">
        <v>40</v>
      </c>
      <c r="E7" s="2" t="s">
        <v>618</v>
      </c>
      <c r="F7" s="2">
        <v>50</v>
      </c>
      <c r="G7" s="2" t="s">
        <v>90</v>
      </c>
      <c r="H7" s="2"/>
      <c r="I7" s="1"/>
      <c r="J7" s="1" t="str">
        <f t="shared" si="0"/>
        <v>CUSTOMER_NAME</v>
      </c>
      <c r="K7" s="1" t="str">
        <f t="shared" si="1"/>
        <v>NVARCHAR2</v>
      </c>
      <c r="L7" s="1" t="str">
        <f t="shared" si="2"/>
        <v>(</v>
      </c>
      <c r="M7" s="1">
        <f t="shared" si="3"/>
        <v>50</v>
      </c>
      <c r="N7" s="1" t="str">
        <f t="shared" si="4"/>
        <v>)</v>
      </c>
      <c r="O7" s="1" t="str">
        <f t="shared" ref="O7:O26" si="5">IF(G7="N","NOT NULL","NULL")</f>
        <v>NOT NULL</v>
      </c>
      <c r="P7" s="1" t="str">
        <f t="shared" ref="P7:P26" si="6">IF(H7&lt;&gt;"","DEFAULT "&amp;H7,"")</f>
        <v/>
      </c>
      <c r="Q7" s="1" t="s">
        <v>113</v>
      </c>
      <c r="R7" s="1"/>
      <c r="S7" s="1" t="str">
        <f>"COMMENT ON COLUMN " &amp; C3 &amp; "." &amp; C7 &amp; " IS '" &amp; B7 &amp; "'"</f>
        <v>COMMENT ON COLUMN CUSTOMERS.CUSTOMER_NAME IS '고객사명'</v>
      </c>
    </row>
    <row r="8" spans="1:19" x14ac:dyDescent="0.3">
      <c r="A8" s="2"/>
      <c r="B8" s="2" t="s">
        <v>231</v>
      </c>
      <c r="C8" s="2" t="s">
        <v>146</v>
      </c>
      <c r="D8" s="2" t="s">
        <v>231</v>
      </c>
      <c r="E8" s="2" t="s">
        <v>618</v>
      </c>
      <c r="F8" s="2">
        <v>20</v>
      </c>
      <c r="G8" s="2" t="s">
        <v>122</v>
      </c>
      <c r="H8" s="2"/>
      <c r="I8" s="1"/>
      <c r="J8" s="1" t="str">
        <f t="shared" si="0"/>
        <v>COR_REG_NUM</v>
      </c>
      <c r="K8" s="1" t="str">
        <f t="shared" si="1"/>
        <v>NVARCHAR2</v>
      </c>
      <c r="L8" s="1" t="str">
        <f t="shared" si="2"/>
        <v>(</v>
      </c>
      <c r="M8" s="1">
        <f t="shared" si="3"/>
        <v>20</v>
      </c>
      <c r="N8" s="1" t="str">
        <f t="shared" si="4"/>
        <v>)</v>
      </c>
      <c r="O8" s="1" t="str">
        <f t="shared" si="5"/>
        <v>NULL</v>
      </c>
      <c r="P8" s="1" t="str">
        <f t="shared" si="6"/>
        <v/>
      </c>
      <c r="Q8" s="1" t="s">
        <v>113</v>
      </c>
      <c r="R8" s="1"/>
      <c r="S8" s="1" t="str">
        <f>"COMMENT ON COLUMN " &amp; C3 &amp; "." &amp; C8 &amp; " IS '" &amp; B8 &amp; "'"</f>
        <v>COMMENT ON COLUMN CUSTOMERS.COR_REG_NUM IS '사업자번호'</v>
      </c>
    </row>
    <row r="9" spans="1:19" s="1" customFormat="1" x14ac:dyDescent="0.3">
      <c r="A9" s="2"/>
      <c r="B9" s="2" t="s">
        <v>299</v>
      </c>
      <c r="C9" s="2" t="s">
        <v>186</v>
      </c>
      <c r="D9" s="2" t="s">
        <v>299</v>
      </c>
      <c r="E9" s="2" t="s">
        <v>618</v>
      </c>
      <c r="F9" s="2">
        <v>20</v>
      </c>
      <c r="G9" s="2" t="s">
        <v>122</v>
      </c>
      <c r="H9" s="2"/>
      <c r="J9" s="1" t="str">
        <f t="shared" si="0"/>
        <v>CORPORATE_NUM</v>
      </c>
      <c r="K9" s="1" t="str">
        <f t="shared" si="1"/>
        <v>NVARCHAR2</v>
      </c>
      <c r="L9" s="1" t="str">
        <f t="shared" si="2"/>
        <v>(</v>
      </c>
      <c r="M9" s="1">
        <f t="shared" si="3"/>
        <v>20</v>
      </c>
      <c r="N9" s="1" t="str">
        <f t="shared" si="4"/>
        <v>)</v>
      </c>
      <c r="O9" s="1" t="str">
        <f t="shared" si="5"/>
        <v>NULL</v>
      </c>
      <c r="P9" s="1" t="str">
        <f t="shared" si="6"/>
        <v/>
      </c>
      <c r="Q9" s="1" t="s">
        <v>113</v>
      </c>
      <c r="S9" s="1" t="str">
        <f>"COMMENT ON COLUMN " &amp; C3 &amp; "." &amp; C9 &amp; " IS '" &amp; B9 &amp; "'"</f>
        <v>COMMENT ON COLUMN CUSTOMERS.CORPORATE_NUM IS '법인(주민)번호'</v>
      </c>
    </row>
    <row r="10" spans="1:19" s="1" customFormat="1" x14ac:dyDescent="0.3">
      <c r="A10" s="2"/>
      <c r="B10" s="2" t="s">
        <v>104</v>
      </c>
      <c r="C10" s="2" t="s">
        <v>244</v>
      </c>
      <c r="D10" s="2" t="s">
        <v>104</v>
      </c>
      <c r="E10" s="2" t="s">
        <v>618</v>
      </c>
      <c r="F10" s="2">
        <v>20</v>
      </c>
      <c r="G10" s="2" t="s">
        <v>90</v>
      </c>
      <c r="H10" s="2"/>
      <c r="J10" s="1" t="str">
        <f t="shared" si="0"/>
        <v>OWNER</v>
      </c>
      <c r="K10" s="1" t="str">
        <f t="shared" si="1"/>
        <v>NVARCHAR2</v>
      </c>
      <c r="L10" s="1" t="str">
        <f t="shared" si="2"/>
        <v>(</v>
      </c>
      <c r="M10" s="1">
        <f t="shared" si="3"/>
        <v>20</v>
      </c>
      <c r="N10" s="1" t="str">
        <f t="shared" si="4"/>
        <v>)</v>
      </c>
      <c r="O10" s="1" t="str">
        <f t="shared" si="5"/>
        <v>NOT NULL</v>
      </c>
      <c r="P10" s="1" t="str">
        <f t="shared" si="6"/>
        <v/>
      </c>
      <c r="Q10" s="1" t="s">
        <v>113</v>
      </c>
      <c r="S10" s="1" t="str">
        <f>"COMMENT ON COLUMN " &amp; C3 &amp; "." &amp; C10 &amp; " IS '" &amp; B10 &amp; "'"</f>
        <v>COMMENT ON COLUMN CUSTOMERS.OWNER IS '대표자'</v>
      </c>
    </row>
    <row r="11" spans="1:19" s="1" customFormat="1" x14ac:dyDescent="0.3">
      <c r="A11" s="2"/>
      <c r="B11" s="2" t="s">
        <v>105</v>
      </c>
      <c r="C11" s="2" t="s">
        <v>154</v>
      </c>
      <c r="D11" s="2" t="s">
        <v>290</v>
      </c>
      <c r="E11" s="2" t="s">
        <v>618</v>
      </c>
      <c r="F11" s="2">
        <v>20</v>
      </c>
      <c r="G11" s="2" t="s">
        <v>122</v>
      </c>
      <c r="H11" s="2"/>
      <c r="J11" s="1" t="str">
        <f t="shared" si="0"/>
        <v>BUSINESS</v>
      </c>
      <c r="K11" s="1" t="str">
        <f t="shared" si="1"/>
        <v>NVARCHAR2</v>
      </c>
      <c r="L11" s="1" t="str">
        <f t="shared" si="2"/>
        <v>(</v>
      </c>
      <c r="M11" s="1">
        <f t="shared" si="3"/>
        <v>20</v>
      </c>
      <c r="N11" s="1" t="str">
        <f t="shared" si="4"/>
        <v>)</v>
      </c>
      <c r="O11" s="1" t="str">
        <f t="shared" si="5"/>
        <v>NULL</v>
      </c>
      <c r="P11" s="1" t="str">
        <f t="shared" si="6"/>
        <v/>
      </c>
      <c r="Q11" s="1" t="s">
        <v>113</v>
      </c>
      <c r="S11" s="1" t="str">
        <f>"COMMENT ON COLUMN " &amp; C3 &amp; "." &amp; C11 &amp; " IS '" &amp; B11 &amp; "'"</f>
        <v>COMMENT ON COLUMN CUSTOMERS.BUSINESS IS '업태'</v>
      </c>
    </row>
    <row r="12" spans="1:19" s="1" customFormat="1" x14ac:dyDescent="0.3">
      <c r="A12" s="2"/>
      <c r="B12" s="2" t="s">
        <v>22</v>
      </c>
      <c r="C12" s="2" t="s">
        <v>148</v>
      </c>
      <c r="D12" s="2" t="s">
        <v>287</v>
      </c>
      <c r="E12" s="2" t="s">
        <v>618</v>
      </c>
      <c r="F12" s="2">
        <v>20</v>
      </c>
      <c r="G12" s="2" t="s">
        <v>122</v>
      </c>
      <c r="H12" s="2"/>
      <c r="J12" s="1" t="str">
        <f t="shared" si="0"/>
        <v>INDUSTRY</v>
      </c>
      <c r="K12" s="1" t="str">
        <f t="shared" si="1"/>
        <v>NVARCHAR2</v>
      </c>
      <c r="L12" s="1" t="str">
        <f t="shared" si="2"/>
        <v>(</v>
      </c>
      <c r="M12" s="1">
        <f t="shared" si="3"/>
        <v>20</v>
      </c>
      <c r="N12" s="1" t="str">
        <f t="shared" si="4"/>
        <v>)</v>
      </c>
      <c r="O12" s="1" t="str">
        <f t="shared" si="5"/>
        <v>NULL</v>
      </c>
      <c r="P12" s="1" t="str">
        <f t="shared" si="6"/>
        <v/>
      </c>
      <c r="Q12" s="1" t="s">
        <v>113</v>
      </c>
      <c r="S12" s="1" t="str">
        <f>"COMMENT ON COLUMN " &amp; C3 &amp; "." &amp; C12 &amp; " IS '" &amp; B12 &amp; "'"</f>
        <v>COMMENT ON COLUMN CUSTOMERS.INDUSTRY IS '종목'</v>
      </c>
    </row>
    <row r="13" spans="1:19" x14ac:dyDescent="0.3">
      <c r="A13" s="2"/>
      <c r="B13" s="2" t="s">
        <v>240</v>
      </c>
      <c r="C13" s="2" t="s">
        <v>239</v>
      </c>
      <c r="D13" s="2" t="s">
        <v>240</v>
      </c>
      <c r="E13" s="2" t="s">
        <v>618</v>
      </c>
      <c r="F13" s="2">
        <v>10</v>
      </c>
      <c r="G13" s="2" t="s">
        <v>122</v>
      </c>
      <c r="H13" s="2"/>
      <c r="I13" s="1"/>
      <c r="J13" s="1" t="str">
        <f t="shared" si="0"/>
        <v>ZIPCODE</v>
      </c>
      <c r="K13" s="1" t="str">
        <f t="shared" si="1"/>
        <v>NVARCHAR2</v>
      </c>
      <c r="L13" s="1" t="str">
        <f t="shared" si="2"/>
        <v>(</v>
      </c>
      <c r="M13" s="1">
        <f t="shared" si="3"/>
        <v>10</v>
      </c>
      <c r="N13" s="1" t="str">
        <f t="shared" si="4"/>
        <v>)</v>
      </c>
      <c r="O13" s="1" t="str">
        <f t="shared" si="5"/>
        <v>NULL</v>
      </c>
      <c r="P13" s="1" t="str">
        <f t="shared" si="6"/>
        <v/>
      </c>
      <c r="Q13" s="1" t="s">
        <v>113</v>
      </c>
      <c r="R13" s="1"/>
      <c r="S13" s="1" t="str">
        <f>"COMMENT ON COLUMN " &amp; C3 &amp; "." &amp; C13 &amp; " IS '" &amp; B13 &amp; "'"</f>
        <v>COMMENT ON COLUMN CUSTOMERS.ZIPCODE IS '우편번호'</v>
      </c>
    </row>
    <row r="14" spans="1:19" s="1" customFormat="1" x14ac:dyDescent="0.3">
      <c r="A14" s="2"/>
      <c r="B14" s="2" t="s">
        <v>120</v>
      </c>
      <c r="C14" s="2" t="s">
        <v>261</v>
      </c>
      <c r="D14" s="2" t="s">
        <v>120</v>
      </c>
      <c r="E14" s="2" t="s">
        <v>618</v>
      </c>
      <c r="F14" s="2" t="s">
        <v>109</v>
      </c>
      <c r="G14" s="2" t="s">
        <v>122</v>
      </c>
      <c r="H14" s="2"/>
      <c r="J14" s="1" t="str">
        <f t="shared" si="0"/>
        <v>ADDRESS</v>
      </c>
      <c r="K14" s="1" t="str">
        <f t="shared" si="1"/>
        <v>NVARCHAR2</v>
      </c>
      <c r="L14" s="1" t="str">
        <f t="shared" si="2"/>
        <v>(</v>
      </c>
      <c r="M14" s="1" t="str">
        <f t="shared" si="3"/>
        <v>MAX</v>
      </c>
      <c r="N14" s="1" t="str">
        <f t="shared" si="4"/>
        <v>)</v>
      </c>
      <c r="O14" s="1" t="str">
        <f t="shared" si="5"/>
        <v>NULL</v>
      </c>
      <c r="P14" s="1" t="str">
        <f t="shared" si="6"/>
        <v/>
      </c>
      <c r="Q14" s="1" t="s">
        <v>113</v>
      </c>
      <c r="S14" s="1" t="str">
        <f>"COMMENT ON COLUMN " &amp; C3 &amp; "." &amp; C14 &amp; " IS '" &amp; B14 &amp; "'"</f>
        <v>COMMENT ON COLUMN CUSTOMERS.ADDRESS IS '주소'</v>
      </c>
    </row>
    <row r="15" spans="1:19" s="1" customFormat="1" x14ac:dyDescent="0.3">
      <c r="A15" s="2"/>
      <c r="B15" s="2" t="s">
        <v>50</v>
      </c>
      <c r="C15" s="2" t="s">
        <v>85</v>
      </c>
      <c r="D15" s="2" t="s">
        <v>50</v>
      </c>
      <c r="E15" s="2" t="s">
        <v>618</v>
      </c>
      <c r="F15" s="2">
        <v>20</v>
      </c>
      <c r="G15" s="2" t="s">
        <v>90</v>
      </c>
      <c r="H15" s="2"/>
      <c r="J15" s="1" t="str">
        <f t="shared" si="0"/>
        <v>TEL</v>
      </c>
      <c r="K15" s="1" t="str">
        <f t="shared" si="1"/>
        <v>NVARCHAR2</v>
      </c>
      <c r="L15" s="1" t="str">
        <f t="shared" si="2"/>
        <v>(</v>
      </c>
      <c r="M15" s="1">
        <f t="shared" si="3"/>
        <v>20</v>
      </c>
      <c r="N15" s="1" t="str">
        <f t="shared" si="4"/>
        <v>)</v>
      </c>
      <c r="O15" s="1" t="str">
        <f t="shared" si="5"/>
        <v>NOT NULL</v>
      </c>
      <c r="P15" s="1" t="str">
        <f t="shared" si="6"/>
        <v/>
      </c>
      <c r="Q15" s="1" t="s">
        <v>113</v>
      </c>
      <c r="S15" s="1" t="str">
        <f>"COMMENT ON COLUMN " &amp; C3 &amp; "." &amp; C15 &amp; " IS '" &amp; B15 &amp; "'"</f>
        <v>COMMENT ON COLUMN CUSTOMERS.TEL IS '고객사연락처'</v>
      </c>
    </row>
    <row r="16" spans="1:19" s="1" customFormat="1" x14ac:dyDescent="0.3">
      <c r="A16" s="2"/>
      <c r="B16" s="2" t="s">
        <v>39</v>
      </c>
      <c r="C16" s="2" t="s">
        <v>311</v>
      </c>
      <c r="D16" s="2" t="s">
        <v>39</v>
      </c>
      <c r="E16" s="2" t="s">
        <v>618</v>
      </c>
      <c r="F16" s="2">
        <v>20</v>
      </c>
      <c r="G16" s="2" t="s">
        <v>90</v>
      </c>
      <c r="H16" s="2"/>
      <c r="J16" s="1" t="str">
        <f t="shared" si="0"/>
        <v>FAX</v>
      </c>
      <c r="K16" s="1" t="str">
        <f t="shared" si="1"/>
        <v>NVARCHAR2</v>
      </c>
      <c r="L16" s="1" t="str">
        <f t="shared" si="2"/>
        <v>(</v>
      </c>
      <c r="M16" s="1">
        <f t="shared" si="3"/>
        <v>20</v>
      </c>
      <c r="N16" s="1" t="str">
        <f t="shared" si="4"/>
        <v>)</v>
      </c>
      <c r="O16" s="1" t="str">
        <f t="shared" si="5"/>
        <v>NOT NULL</v>
      </c>
      <c r="P16" s="1" t="str">
        <f t="shared" si="6"/>
        <v/>
      </c>
      <c r="Q16" s="1" t="s">
        <v>113</v>
      </c>
      <c r="S16" s="1" t="str">
        <f>"COMMENT ON COLUMN " &amp; C3 &amp; "." &amp; C16 &amp; " IS '" &amp; B16 &amp; "'"</f>
        <v>COMMENT ON COLUMN CUSTOMERS.FAX IS '고객사팩스'</v>
      </c>
    </row>
    <row r="17" spans="1:19" x14ac:dyDescent="0.3">
      <c r="A17" s="2"/>
      <c r="B17" s="2" t="s">
        <v>33</v>
      </c>
      <c r="C17" s="2" t="s">
        <v>307</v>
      </c>
      <c r="D17" s="2" t="s">
        <v>33</v>
      </c>
      <c r="E17" s="2" t="s">
        <v>618</v>
      </c>
      <c r="F17" s="2">
        <v>20</v>
      </c>
      <c r="G17" s="2" t="s">
        <v>90</v>
      </c>
      <c r="H17" s="2"/>
      <c r="I17" s="1"/>
      <c r="J17" s="1" t="str">
        <f t="shared" si="0"/>
        <v>HP</v>
      </c>
      <c r="K17" s="1" t="str">
        <f t="shared" si="1"/>
        <v>NVARCHAR2</v>
      </c>
      <c r="L17" s="1" t="str">
        <f t="shared" si="2"/>
        <v>(</v>
      </c>
      <c r="M17" s="1">
        <f t="shared" si="3"/>
        <v>20</v>
      </c>
      <c r="N17" s="1" t="str">
        <f t="shared" si="4"/>
        <v>)</v>
      </c>
      <c r="O17" s="1" t="str">
        <f t="shared" si="5"/>
        <v>NOT NULL</v>
      </c>
      <c r="P17" s="1" t="str">
        <f t="shared" si="6"/>
        <v/>
      </c>
      <c r="Q17" s="1" t="s">
        <v>113</v>
      </c>
      <c r="R17" s="1"/>
      <c r="S17" s="1" t="str">
        <f>"COMMENT ON COLUMN " &amp; C3 &amp; "." &amp; C17 &amp; " IS '" &amp; B17 &amp; "'"</f>
        <v>COMMENT ON COLUMN CUSTOMERS.HP IS '고객사핸드폰'</v>
      </c>
    </row>
    <row r="18" spans="1:19" s="1" customFormat="1" x14ac:dyDescent="0.3">
      <c r="A18" s="2"/>
      <c r="B18" s="2" t="s">
        <v>87</v>
      </c>
      <c r="C18" s="2" t="s">
        <v>226</v>
      </c>
      <c r="D18" s="2" t="s">
        <v>50</v>
      </c>
      <c r="E18" s="2" t="s">
        <v>618</v>
      </c>
      <c r="F18" s="2">
        <v>20</v>
      </c>
      <c r="G18" s="2" t="s">
        <v>90</v>
      </c>
      <c r="H18" s="2"/>
      <c r="J18" s="1" t="str">
        <f t="shared" si="0"/>
        <v>EMAIL</v>
      </c>
      <c r="K18" s="1" t="str">
        <f t="shared" si="1"/>
        <v>NVARCHAR2</v>
      </c>
      <c r="L18" s="1" t="str">
        <f t="shared" si="2"/>
        <v>(</v>
      </c>
      <c r="M18" s="1">
        <f t="shared" si="3"/>
        <v>20</v>
      </c>
      <c r="N18" s="1" t="str">
        <f t="shared" si="4"/>
        <v>)</v>
      </c>
      <c r="O18" s="1" t="str">
        <f t="shared" si="5"/>
        <v>NOT NULL</v>
      </c>
      <c r="P18" s="1" t="str">
        <f t="shared" si="6"/>
        <v/>
      </c>
      <c r="Q18" s="1" t="s">
        <v>113</v>
      </c>
      <c r="S18" s="1" t="str">
        <f>"COMMENT ON COLUMN " &amp; C3 &amp; "." &amp; C18 &amp; " IS '" &amp; B18 &amp; "'"</f>
        <v>COMMENT ON COLUMN CUSTOMERS.EMAIL IS '이메일'</v>
      </c>
    </row>
    <row r="19" spans="1:19" s="1" customFormat="1" x14ac:dyDescent="0.3">
      <c r="A19" s="2"/>
      <c r="B19" s="2" t="s">
        <v>38</v>
      </c>
      <c r="C19" s="2" t="s">
        <v>5</v>
      </c>
      <c r="D19" s="2" t="s">
        <v>38</v>
      </c>
      <c r="E19" s="2" t="s">
        <v>618</v>
      </c>
      <c r="F19" s="2" t="s">
        <v>109</v>
      </c>
      <c r="G19" s="2" t="s">
        <v>122</v>
      </c>
      <c r="H19" s="2"/>
      <c r="J19" s="1" t="str">
        <f t="shared" si="0"/>
        <v>DEC</v>
      </c>
      <c r="K19" s="1" t="str">
        <f t="shared" si="1"/>
        <v>NVARCHAR2</v>
      </c>
      <c r="L19" s="1" t="str">
        <f t="shared" si="2"/>
        <v>(</v>
      </c>
      <c r="M19" s="1" t="str">
        <f t="shared" si="3"/>
        <v>MAX</v>
      </c>
      <c r="N19" s="1" t="str">
        <f t="shared" si="4"/>
        <v>)</v>
      </c>
      <c r="O19" s="1" t="str">
        <f t="shared" si="5"/>
        <v>NULL</v>
      </c>
      <c r="P19" s="1" t="str">
        <f t="shared" si="6"/>
        <v/>
      </c>
      <c r="Q19" s="1" t="s">
        <v>113</v>
      </c>
      <c r="S19" s="1" t="str">
        <f>"COMMENT ON COLUMN " &amp; C3 &amp; "." &amp; C19 &amp; " IS '" &amp; B19 &amp; "'"</f>
        <v>COMMENT ON COLUMN CUSTOMERS.DEC IS '고객사설명'</v>
      </c>
    </row>
    <row r="20" spans="1:19" x14ac:dyDescent="0.3">
      <c r="A20" s="2"/>
      <c r="B20" s="2" t="s">
        <v>115</v>
      </c>
      <c r="C20" s="2" t="s">
        <v>230</v>
      </c>
      <c r="D20" s="2" t="s">
        <v>115</v>
      </c>
      <c r="E20" s="2" t="s">
        <v>618</v>
      </c>
      <c r="F20" s="2">
        <v>20</v>
      </c>
      <c r="G20" s="2" t="s">
        <v>122</v>
      </c>
      <c r="H20" s="2"/>
      <c r="I20" s="1"/>
      <c r="J20" s="1" t="str">
        <f t="shared" si="0"/>
        <v>MANAGER</v>
      </c>
      <c r="K20" s="1" t="str">
        <f t="shared" si="1"/>
        <v>NVARCHAR2</v>
      </c>
      <c r="L20" s="1" t="str">
        <f t="shared" si="2"/>
        <v>(</v>
      </c>
      <c r="M20" s="1">
        <f t="shared" si="3"/>
        <v>20</v>
      </c>
      <c r="N20" s="1" t="str">
        <f t="shared" si="4"/>
        <v>)</v>
      </c>
      <c r="O20" s="1" t="str">
        <f t="shared" si="5"/>
        <v>NULL</v>
      </c>
      <c r="P20" s="1" t="str">
        <f t="shared" si="6"/>
        <v/>
      </c>
      <c r="Q20" s="1" t="s">
        <v>113</v>
      </c>
      <c r="R20" s="1"/>
      <c r="S20" s="1" t="str">
        <f>"COMMENT ON COLUMN " &amp; C3 &amp; "." &amp; C20 &amp; " IS '" &amp; B20 &amp; "'"</f>
        <v>COMMENT ON COLUMN CUSTOMERS.MANAGER IS '담당자'</v>
      </c>
    </row>
    <row r="21" spans="1:19" x14ac:dyDescent="0.3">
      <c r="A21" s="2"/>
      <c r="B21" s="2" t="s">
        <v>42</v>
      </c>
      <c r="C21" s="2" t="s">
        <v>153</v>
      </c>
      <c r="D21" s="2" t="s">
        <v>42</v>
      </c>
      <c r="E21" s="2" t="s">
        <v>618</v>
      </c>
      <c r="F21" s="2">
        <v>20</v>
      </c>
      <c r="G21" s="2" t="s">
        <v>122</v>
      </c>
      <c r="H21" s="2"/>
      <c r="I21" s="1"/>
      <c r="J21" s="1" t="str">
        <f t="shared" si="0"/>
        <v>MANAGER_TEL</v>
      </c>
      <c r="K21" s="1" t="str">
        <f t="shared" si="1"/>
        <v>NVARCHAR2</v>
      </c>
      <c r="L21" s="1" t="str">
        <f t="shared" si="2"/>
        <v>(</v>
      </c>
      <c r="M21" s="1">
        <f t="shared" si="3"/>
        <v>20</v>
      </c>
      <c r="N21" s="1" t="str">
        <f t="shared" si="4"/>
        <v>)</v>
      </c>
      <c r="O21" s="1" t="str">
        <f t="shared" si="5"/>
        <v>NULL</v>
      </c>
      <c r="P21" s="1" t="str">
        <f t="shared" si="6"/>
        <v/>
      </c>
      <c r="Q21" s="1" t="s">
        <v>113</v>
      </c>
      <c r="R21" s="1"/>
      <c r="S21" s="1" t="str">
        <f>"COMMENT ON COLUMN " &amp; C3 &amp; "." &amp; C21 &amp; " IS '" &amp; B21 &amp; "'"</f>
        <v>COMMENT ON COLUMN CUSTOMERS.MANAGER_TEL IS '담당자연락처'</v>
      </c>
    </row>
    <row r="22" spans="1:19" x14ac:dyDescent="0.3">
      <c r="A22" s="2"/>
      <c r="B22" s="17" t="s">
        <v>327</v>
      </c>
      <c r="C22" s="2" t="s">
        <v>393</v>
      </c>
      <c r="D22" s="17"/>
      <c r="E22" s="14" t="s">
        <v>563</v>
      </c>
      <c r="F22" s="17">
        <v>1</v>
      </c>
      <c r="G22" s="14" t="s">
        <v>565</v>
      </c>
      <c r="H22" s="2"/>
      <c r="I22" s="1"/>
      <c r="J22" s="1" t="str">
        <f t="shared" si="0"/>
        <v>EXPORT_FLAG</v>
      </c>
      <c r="K22" s="1" t="str">
        <f t="shared" si="1"/>
        <v>CHAR</v>
      </c>
      <c r="L22" s="1" t="str">
        <f t="shared" si="2"/>
        <v>(</v>
      </c>
      <c r="M22" s="1">
        <f t="shared" si="3"/>
        <v>1</v>
      </c>
      <c r="N22" s="1" t="str">
        <f t="shared" si="4"/>
        <v>)</v>
      </c>
      <c r="O22" s="1" t="str">
        <f t="shared" si="5"/>
        <v>NULL</v>
      </c>
      <c r="P22" s="1" t="str">
        <f t="shared" si="6"/>
        <v/>
      </c>
      <c r="Q22" s="1" t="s">
        <v>113</v>
      </c>
      <c r="R22" s="1"/>
      <c r="S22" s="1" t="str">
        <f>"COMMENT ON COLUMN " &amp; C3 &amp; "." &amp; C22 &amp; " IS '" &amp; B22 &amp; "'"</f>
        <v>COMMENT ON COLUMN CUSTOMERS.EXPORT_FLAG IS '수출여부'</v>
      </c>
    </row>
    <row r="23" spans="1:19" x14ac:dyDescent="0.3">
      <c r="A23" s="2"/>
      <c r="B23" s="2" t="s">
        <v>111</v>
      </c>
      <c r="C23" s="2" t="s">
        <v>790</v>
      </c>
      <c r="D23" s="2" t="s">
        <v>188</v>
      </c>
      <c r="E23" s="2" t="s">
        <v>618</v>
      </c>
      <c r="F23" s="2">
        <v>20</v>
      </c>
      <c r="G23" s="2" t="s">
        <v>90</v>
      </c>
      <c r="H23" s="18"/>
      <c r="I23" s="1"/>
      <c r="J23" s="1" t="str">
        <f>""&amp;C23&amp;""</f>
        <v>INITBY</v>
      </c>
      <c r="K23" s="1" t="str">
        <f>""&amp;E23&amp;""</f>
        <v>NVARCHAR2</v>
      </c>
      <c r="L23" s="1" t="str">
        <f t="shared" si="2"/>
        <v>(</v>
      </c>
      <c r="M23" s="1">
        <f t="shared" si="3"/>
        <v>20</v>
      </c>
      <c r="N23" s="1" t="str">
        <f t="shared" si="4"/>
        <v>)</v>
      </c>
      <c r="O23" s="1" t="str">
        <f t="shared" si="5"/>
        <v>NOT NULL</v>
      </c>
      <c r="P23" s="1" t="str">
        <f t="shared" si="6"/>
        <v/>
      </c>
      <c r="Q23" s="1" t="s">
        <v>113</v>
      </c>
      <c r="R23" s="1"/>
      <c r="S23" s="1" t="str">
        <f>"COMMENT ON COLUMN " &amp; C3 &amp; "." &amp; C23 &amp; " IS '" &amp; B23 &amp; "'"</f>
        <v>COMMENT ON COLUMN CUSTOMERS.INITBY IS '입력자'</v>
      </c>
    </row>
    <row r="24" spans="1:19" x14ac:dyDescent="0.3">
      <c r="A24" s="2"/>
      <c r="B24" s="2" t="s">
        <v>254</v>
      </c>
      <c r="C24" s="2" t="s">
        <v>791</v>
      </c>
      <c r="D24" s="2" t="s">
        <v>254</v>
      </c>
      <c r="E24" s="2" t="s">
        <v>228</v>
      </c>
      <c r="F24" s="2"/>
      <c r="G24" s="2" t="s">
        <v>90</v>
      </c>
      <c r="H24" s="2" t="s">
        <v>570</v>
      </c>
      <c r="I24" s="1"/>
      <c r="J24" s="1" t="str">
        <f>""&amp;C24&amp;""</f>
        <v>INITDTTM</v>
      </c>
      <c r="K24" s="1" t="str">
        <f>""&amp;E24&amp;""</f>
        <v>DATE</v>
      </c>
      <c r="L24" s="1" t="str">
        <f t="shared" si="2"/>
        <v/>
      </c>
      <c r="M24" s="1" t="str">
        <f t="shared" si="3"/>
        <v/>
      </c>
      <c r="N24" s="1" t="str">
        <f t="shared" si="4"/>
        <v/>
      </c>
      <c r="O24" s="1" t="str">
        <f t="shared" si="5"/>
        <v>NOT NULL</v>
      </c>
      <c r="P24" s="1" t="str">
        <f t="shared" si="6"/>
        <v>DEFAULT SYSDATE</v>
      </c>
      <c r="Q24" s="1" t="s">
        <v>113</v>
      </c>
      <c r="R24" s="1"/>
      <c r="S24" s="1" t="str">
        <f>"COMMENT ON COLUMN " &amp; C3 &amp; "." &amp; C24 &amp; " IS '" &amp; B24 &amp; "'"</f>
        <v>COMMENT ON COLUMN CUSTOMERS.INITDTTM IS '입력일시'</v>
      </c>
    </row>
    <row r="25" spans="1:19" x14ac:dyDescent="0.3">
      <c r="A25" s="2"/>
      <c r="B25" s="2" t="s">
        <v>99</v>
      </c>
      <c r="C25" s="2" t="s">
        <v>793</v>
      </c>
      <c r="D25" s="2" t="s">
        <v>197</v>
      </c>
      <c r="E25" s="2" t="s">
        <v>618</v>
      </c>
      <c r="F25" s="2">
        <v>20</v>
      </c>
      <c r="G25" s="2" t="s">
        <v>122</v>
      </c>
      <c r="H25" s="18"/>
      <c r="I25" s="1"/>
      <c r="J25" s="1" t="str">
        <f>""&amp;C25&amp;""</f>
        <v>UPBY</v>
      </c>
      <c r="K25" s="1" t="str">
        <f>""&amp;E25&amp;""</f>
        <v>NVARCHAR2</v>
      </c>
      <c r="L25" s="1" t="str">
        <f t="shared" si="2"/>
        <v>(</v>
      </c>
      <c r="M25" s="1">
        <f t="shared" si="3"/>
        <v>20</v>
      </c>
      <c r="N25" s="1" t="str">
        <f t="shared" si="4"/>
        <v>)</v>
      </c>
      <c r="O25" s="1" t="str">
        <f t="shared" si="5"/>
        <v>NULL</v>
      </c>
      <c r="P25" s="1" t="str">
        <f t="shared" si="6"/>
        <v/>
      </c>
      <c r="Q25" s="1" t="s">
        <v>113</v>
      </c>
      <c r="R25" s="1"/>
      <c r="S25" s="1" t="str">
        <f>"COMMENT ON COLUMN " &amp; C3 &amp; "." &amp; C25 &amp; " IS '" &amp; B25 &amp; "'"</f>
        <v>COMMENT ON COLUMN CUSTOMERS.UPBY IS '수정자'</v>
      </c>
    </row>
    <row r="26" spans="1:19" x14ac:dyDescent="0.3">
      <c r="A26" s="2"/>
      <c r="B26" s="2" t="s">
        <v>259</v>
      </c>
      <c r="C26" s="2" t="s">
        <v>792</v>
      </c>
      <c r="D26" s="2" t="s">
        <v>259</v>
      </c>
      <c r="E26" s="2" t="s">
        <v>228</v>
      </c>
      <c r="F26" s="2"/>
      <c r="G26" s="2" t="s">
        <v>122</v>
      </c>
      <c r="H26" s="2"/>
      <c r="I26" s="1"/>
      <c r="J26" s="1" t="str">
        <f>""&amp;C26&amp;""</f>
        <v>UPDTTM</v>
      </c>
      <c r="K26" s="1" t="str">
        <f>""&amp;E26&amp;""</f>
        <v>DATE</v>
      </c>
      <c r="L26" s="1" t="str">
        <f t="shared" si="2"/>
        <v/>
      </c>
      <c r="M26" s="1" t="str">
        <f t="shared" si="3"/>
        <v/>
      </c>
      <c r="N26" s="1" t="str">
        <f t="shared" si="4"/>
        <v/>
      </c>
      <c r="O26" s="1" t="str">
        <f t="shared" si="5"/>
        <v>NULL</v>
      </c>
      <c r="P26" s="1" t="str">
        <f t="shared" si="6"/>
        <v/>
      </c>
      <c r="Q26" s="21" t="s">
        <v>723</v>
      </c>
      <c r="R26" s="1"/>
      <c r="S26" s="1" t="str">
        <f>"COMMENT ON COLUMN " &amp; C3 &amp; "." &amp; C26 &amp; " IS '" &amp; B26 &amp; "'"</f>
        <v>COMMENT ON COLUMN CUSTOMERS.UPDTTM IS '수정일시'</v>
      </c>
    </row>
    <row r="27" spans="1:19" x14ac:dyDescent="0.3">
      <c r="J27" s="13" t="str">
        <f>"ALTER TABLE "&amp;C3&amp;""</f>
        <v>ALTER TABLE CUSTOMERS</v>
      </c>
    </row>
    <row r="28" spans="1:19" x14ac:dyDescent="0.3">
      <c r="J28" s="13" t="str" cm="1">
        <f t="array" ref="J28">"ADD CONSTRAINT PK_"&amp;C3&amp;"
PRIMARY KEY (" &amp; _xlfn.TEXTJOIN(", ", TRUE, _xlfn._xlws.FILTER(C6:C63, A6:A63="Y")) &amp; ")"</f>
        <v>ADD CONSTRAINT PK_CUSTOMERS
PRIMARY KEY (PLANT_CODE, CUSTOMER_NAME)</v>
      </c>
    </row>
  </sheetData>
  <phoneticPr fontId="7" type="noConversion"/>
  <hyperlinks>
    <hyperlink ref="A1" location="리스트!A1" display="리스트로 이동" xr:uid="{C1EA7425-F712-444B-8FF6-D4810A64687E}"/>
  </hyperlinks>
  <pageMargins left="0.74805557727813721" right="0.74805557727813721" top="0.98430556058883667" bottom="0.98430556058883667" header="0.51166665554046631" footer="0.51166665554046631"/>
  <pageSetup paperSize="9" fitToWidth="0" fitToHeight="0" orientation="portrait" horizontalDpi="0" verticalDpi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"/>
  <dimension ref="A1:S19"/>
  <sheetViews>
    <sheetView zoomScaleNormal="75" zoomScaleSheetLayoutView="100" workbookViewId="0">
      <selection activeCell="J3" sqref="J3:Q3"/>
    </sheetView>
  </sheetViews>
  <sheetFormatPr defaultColWidth="9" defaultRowHeight="16.5" x14ac:dyDescent="0.3"/>
  <cols>
    <col min="1" max="1" width="8.625" style="1" bestFit="1" customWidth="1"/>
    <col min="2" max="2" width="13.75" style="1" bestFit="1" customWidth="1"/>
    <col min="3" max="3" width="16.25" style="1" bestFit="1" customWidth="1"/>
    <col min="4" max="4" width="19.375" style="1" bestFit="1" customWidth="1"/>
    <col min="5" max="5" width="12.75" style="1" bestFit="1" customWidth="1"/>
    <col min="6" max="6" width="6.75" style="1" bestFit="1" customWidth="1"/>
    <col min="7" max="7" width="9" style="1" bestFit="1" customWidth="1"/>
    <col min="8" max="8" width="9" style="1"/>
    <col min="9" max="10" width="16.875" style="1" customWidth="1"/>
    <col min="11" max="11" width="1.625" style="1" bestFit="1" customWidth="1"/>
    <col min="12" max="12" width="3" style="1" bestFit="1" customWidth="1"/>
    <col min="13" max="13" width="1.625" style="1" bestFit="1" customWidth="1"/>
    <col min="14" max="15" width="10.125" style="1" bestFit="1" customWidth="1"/>
    <col min="16" max="16" width="16.875" style="1" customWidth="1"/>
    <col min="17" max="16384" width="9" style="1"/>
  </cols>
  <sheetData>
    <row r="1" spans="1:19" customFormat="1" x14ac:dyDescent="0.3">
      <c r="A1" s="16" t="s">
        <v>615</v>
      </c>
    </row>
    <row r="2" spans="1:19" x14ac:dyDescent="0.3">
      <c r="A2" s="2"/>
      <c r="B2" s="2" t="s">
        <v>116</v>
      </c>
      <c r="C2" s="2" t="s">
        <v>119</v>
      </c>
      <c r="D2" s="2" t="s">
        <v>112</v>
      </c>
    </row>
    <row r="3" spans="1:19" x14ac:dyDescent="0.3">
      <c r="A3" s="2"/>
      <c r="B3" s="2" t="s">
        <v>332</v>
      </c>
      <c r="C3" s="12" t="s">
        <v>783</v>
      </c>
      <c r="D3" s="2"/>
      <c r="J3" s="13" t="str">
        <f>"DROP TABLE "&amp;C3&amp;" CASCADE CONSTRAINTS PURGE"</f>
        <v>DROP TABLE VEHICLE CASCADE CONSTRAINTS PURGE</v>
      </c>
      <c r="P3" s="21"/>
      <c r="Q3" s="21" t="s">
        <v>771</v>
      </c>
    </row>
    <row r="5" spans="1:19" x14ac:dyDescent="0.3">
      <c r="A5" s="2" t="s">
        <v>88</v>
      </c>
      <c r="B5" s="2" t="s">
        <v>215</v>
      </c>
      <c r="C5" s="2" t="s">
        <v>252</v>
      </c>
      <c r="D5" s="2" t="s">
        <v>169</v>
      </c>
      <c r="E5" s="2" t="s">
        <v>265</v>
      </c>
      <c r="F5" s="2" t="s">
        <v>101</v>
      </c>
      <c r="G5" s="2" t="s">
        <v>205</v>
      </c>
      <c r="H5" s="2" t="s">
        <v>569</v>
      </c>
      <c r="J5" s="1" t="str">
        <f>"CREATE TABLE "&amp;C3&amp;" ("</f>
        <v>CREATE TABLE VEHICLE (</v>
      </c>
      <c r="S5" s="1" t="str">
        <f>"COMMENT ON TABLE " &amp; C3 &amp; " IS '" &amp; SUBSTITUTE(B3,"'","''") &amp; "'"</f>
        <v>COMMENT ON TABLE VEHICLE IS '차량정보'</v>
      </c>
    </row>
    <row r="6" spans="1:19" x14ac:dyDescent="0.3">
      <c r="A6" s="2" t="s">
        <v>565</v>
      </c>
      <c r="B6" s="2" t="s">
        <v>610</v>
      </c>
      <c r="C6" s="12" t="s">
        <v>784</v>
      </c>
      <c r="D6" s="2" t="s">
        <v>369</v>
      </c>
      <c r="E6" s="2" t="s">
        <v>618</v>
      </c>
      <c r="F6" s="2">
        <v>20</v>
      </c>
      <c r="G6" s="2" t="s">
        <v>564</v>
      </c>
      <c r="H6" s="2"/>
      <c r="J6" s="1" t="str">
        <f t="shared" ref="J6:J13" si="0">""&amp;C6&amp;""</f>
        <v>VEHICLE_CODE</v>
      </c>
      <c r="K6" s="1" t="str">
        <f t="shared" ref="K6:K13" si="1">""&amp;E6&amp;""</f>
        <v>NVARCHAR2</v>
      </c>
      <c r="L6" s="1" t="str">
        <f t="shared" ref="L6:L17" si="2">IF(F6="","","(")</f>
        <v>(</v>
      </c>
      <c r="M6" s="1">
        <f t="shared" ref="M6:M17" si="3">IF(F6="","",F6)</f>
        <v>20</v>
      </c>
      <c r="N6" s="1" t="str">
        <f t="shared" ref="N6:N17" si="4">IF(F6="","",")")</f>
        <v>)</v>
      </c>
      <c r="O6" s="1" t="str">
        <f>IF(G6="N","NOT NULL","NULL")</f>
        <v>NOT NULL</v>
      </c>
      <c r="P6" s="1" t="str">
        <f>IF(H6&lt;&gt;"","DEFAULT "&amp;H6,"")</f>
        <v/>
      </c>
      <c r="Q6" s="1" t="s">
        <v>113</v>
      </c>
      <c r="R6"/>
      <c r="S6" s="1" t="str">
        <f>"COMMENT ON COLUMN " &amp; C3 &amp; "." &amp; C6 &amp; " IS '" &amp; B6 &amp; "'"</f>
        <v>COMMENT ON COLUMN VEHICLE.VEHICLE_CODE IS '차량코드'</v>
      </c>
    </row>
    <row r="7" spans="1:19" x14ac:dyDescent="0.3">
      <c r="A7" s="2"/>
      <c r="B7" s="2" t="s">
        <v>363</v>
      </c>
      <c r="C7" s="12" t="s">
        <v>785</v>
      </c>
      <c r="D7" s="2" t="s">
        <v>363</v>
      </c>
      <c r="E7" s="2" t="s">
        <v>618</v>
      </c>
      <c r="F7" s="2">
        <v>20</v>
      </c>
      <c r="G7" s="2"/>
      <c r="H7" s="2"/>
      <c r="J7" s="1" t="str">
        <f t="shared" si="0"/>
        <v>VEHICLE_NO</v>
      </c>
      <c r="K7" s="1" t="str">
        <f t="shared" si="1"/>
        <v>NVARCHAR2</v>
      </c>
      <c r="L7" s="1" t="str">
        <f t="shared" si="2"/>
        <v>(</v>
      </c>
      <c r="M7" s="1">
        <f t="shared" si="3"/>
        <v>20</v>
      </c>
      <c r="N7" s="1" t="str">
        <f t="shared" si="4"/>
        <v>)</v>
      </c>
      <c r="O7" s="1" t="str">
        <f t="shared" ref="O7:O17" si="5">IF(G7="N","NOT NULL","NULL")</f>
        <v>NULL</v>
      </c>
      <c r="P7" s="1" t="str">
        <f t="shared" ref="P7:P17" si="6">IF(H7&lt;&gt;"","DEFAULT "&amp;H7,"")</f>
        <v/>
      </c>
      <c r="Q7" s="1" t="s">
        <v>113</v>
      </c>
      <c r="S7" s="1" t="str">
        <f>"COMMENT ON COLUMN " &amp; C3 &amp; "." &amp; C7 &amp; " IS '" &amp; B7 &amp; "'"</f>
        <v>COMMENT ON COLUMN VEHICLE.VEHICLE_NO IS '차량번호'</v>
      </c>
    </row>
    <row r="8" spans="1:19" x14ac:dyDescent="0.3">
      <c r="A8" s="2"/>
      <c r="B8" s="2" t="s">
        <v>611</v>
      </c>
      <c r="C8" s="12" t="s">
        <v>786</v>
      </c>
      <c r="D8" s="2"/>
      <c r="E8" s="2" t="s">
        <v>618</v>
      </c>
      <c r="F8" s="2">
        <v>20</v>
      </c>
      <c r="G8" s="2"/>
      <c r="H8" s="2"/>
      <c r="J8" s="1" t="str">
        <f t="shared" si="0"/>
        <v>VEHICLE_TON_CODE</v>
      </c>
      <c r="K8" s="1" t="str">
        <f t="shared" si="1"/>
        <v>NVARCHAR2</v>
      </c>
      <c r="L8" s="1" t="str">
        <f t="shared" si="2"/>
        <v>(</v>
      </c>
      <c r="M8" s="1">
        <f t="shared" si="3"/>
        <v>20</v>
      </c>
      <c r="N8" s="1" t="str">
        <f t="shared" si="4"/>
        <v>)</v>
      </c>
      <c r="O8" s="1" t="str">
        <f t="shared" si="5"/>
        <v>NULL</v>
      </c>
      <c r="P8" s="1" t="str">
        <f t="shared" si="6"/>
        <v/>
      </c>
      <c r="Q8" s="1" t="s">
        <v>113</v>
      </c>
      <c r="S8" s="1" t="str">
        <f>"COMMENT ON COLUMN " &amp; C3 &amp; "." &amp; C8 &amp; " IS '" &amp; B8 &amp; "'"</f>
        <v>COMMENT ON COLUMN VEHICLE.VEHICLE_TON_CODE IS '차량톤급코드'</v>
      </c>
    </row>
    <row r="9" spans="1:19" x14ac:dyDescent="0.3">
      <c r="A9" s="2"/>
      <c r="B9" s="2" t="s">
        <v>612</v>
      </c>
      <c r="C9" s="12" t="s">
        <v>787</v>
      </c>
      <c r="D9" s="2"/>
      <c r="E9" s="2" t="s">
        <v>618</v>
      </c>
      <c r="F9" s="2">
        <v>20</v>
      </c>
      <c r="G9" s="2"/>
      <c r="H9" s="2"/>
      <c r="J9" s="1" t="str">
        <f t="shared" si="0"/>
        <v>VEHICLE_GROUP</v>
      </c>
      <c r="K9" s="1" t="str">
        <f t="shared" si="1"/>
        <v>NVARCHAR2</v>
      </c>
      <c r="L9" s="1" t="str">
        <f t="shared" si="2"/>
        <v>(</v>
      </c>
      <c r="M9" s="1">
        <f t="shared" si="3"/>
        <v>20</v>
      </c>
      <c r="N9" s="1" t="str">
        <f t="shared" si="4"/>
        <v>)</v>
      </c>
      <c r="O9" s="1" t="str">
        <f t="shared" si="5"/>
        <v>NULL</v>
      </c>
      <c r="P9" s="1" t="str">
        <f t="shared" si="6"/>
        <v/>
      </c>
      <c r="Q9" s="1" t="s">
        <v>113</v>
      </c>
      <c r="S9" s="1" t="str">
        <f>"COMMENT ON COLUMN " &amp; C3 &amp; "." &amp; C9 &amp; " IS '" &amp; B9 &amp; "'"</f>
        <v>COMMENT ON COLUMN VEHICLE.VEHICLE_GROUP IS '차량그룹'</v>
      </c>
    </row>
    <row r="10" spans="1:19" x14ac:dyDescent="0.3">
      <c r="A10" s="2"/>
      <c r="B10" s="2" t="s">
        <v>364</v>
      </c>
      <c r="C10" s="2" t="s">
        <v>16</v>
      </c>
      <c r="D10" s="2" t="s">
        <v>364</v>
      </c>
      <c r="E10" s="2" t="s">
        <v>618</v>
      </c>
      <c r="F10" s="2">
        <v>50</v>
      </c>
      <c r="G10" s="2"/>
      <c r="H10" s="2"/>
      <c r="J10" s="1" t="str">
        <f t="shared" si="0"/>
        <v>DELIVERY_EMP</v>
      </c>
      <c r="K10" s="1" t="str">
        <f t="shared" si="1"/>
        <v>NVARCHAR2</v>
      </c>
      <c r="L10" s="1" t="str">
        <f t="shared" si="2"/>
        <v>(</v>
      </c>
      <c r="M10" s="1">
        <f t="shared" si="3"/>
        <v>50</v>
      </c>
      <c r="N10" s="1" t="str">
        <f t="shared" si="4"/>
        <v>)</v>
      </c>
      <c r="O10" s="1" t="str">
        <f t="shared" si="5"/>
        <v>NULL</v>
      </c>
      <c r="P10" s="1" t="str">
        <f t="shared" si="6"/>
        <v/>
      </c>
      <c r="Q10" s="1" t="s">
        <v>113</v>
      </c>
      <c r="S10" s="1" t="str">
        <f>"COMMENT ON COLUMN " &amp; C3 &amp; "." &amp; C10 &amp; " IS '" &amp; B10 &amp; "'"</f>
        <v>COMMENT ON COLUMN VEHICLE.DELIVERY_EMP IS '배송기사'</v>
      </c>
    </row>
    <row r="11" spans="1:19" x14ac:dyDescent="0.3">
      <c r="A11" s="2"/>
      <c r="B11" s="2" t="s">
        <v>361</v>
      </c>
      <c r="C11" s="2" t="s">
        <v>17</v>
      </c>
      <c r="D11" s="2" t="s">
        <v>361</v>
      </c>
      <c r="E11" s="2" t="s">
        <v>618</v>
      </c>
      <c r="F11" s="2">
        <v>20</v>
      </c>
      <c r="G11" s="2"/>
      <c r="H11" s="2"/>
      <c r="J11" s="1" t="str">
        <f t="shared" si="0"/>
        <v>DELIVERTY_TEL</v>
      </c>
      <c r="K11" s="1" t="str">
        <f t="shared" si="1"/>
        <v>NVARCHAR2</v>
      </c>
      <c r="L11" s="1" t="str">
        <f t="shared" si="2"/>
        <v>(</v>
      </c>
      <c r="M11" s="1">
        <f t="shared" si="3"/>
        <v>20</v>
      </c>
      <c r="N11" s="1" t="str">
        <f t="shared" si="4"/>
        <v>)</v>
      </c>
      <c r="O11" s="1" t="str">
        <f t="shared" si="5"/>
        <v>NULL</v>
      </c>
      <c r="P11" s="1" t="str">
        <f t="shared" si="6"/>
        <v/>
      </c>
      <c r="Q11" s="1" t="s">
        <v>113</v>
      </c>
      <c r="S11" s="1" t="str">
        <f>"COMMENT ON COLUMN " &amp; C3 &amp; "." &amp; C11 &amp; " IS '" &amp; B11 &amp; "'"</f>
        <v>COMMENT ON COLUMN VEHICLE.DELIVERTY_TEL IS '기사 전화번호'</v>
      </c>
    </row>
    <row r="12" spans="1:19" x14ac:dyDescent="0.3">
      <c r="A12" s="2"/>
      <c r="B12" s="2" t="s">
        <v>614</v>
      </c>
      <c r="C12" s="2" t="s">
        <v>613</v>
      </c>
      <c r="D12" s="2"/>
      <c r="E12" s="2" t="s">
        <v>563</v>
      </c>
      <c r="F12" s="2">
        <v>1</v>
      </c>
      <c r="G12" s="2"/>
      <c r="H12" s="2"/>
      <c r="J12" s="1" t="str">
        <f t="shared" si="0"/>
        <v>ISREQUIRESEAL</v>
      </c>
      <c r="K12" s="1" t="str">
        <f t="shared" si="1"/>
        <v>CHAR</v>
      </c>
      <c r="L12" s="1" t="str">
        <f t="shared" si="2"/>
        <v>(</v>
      </c>
      <c r="M12" s="1">
        <f t="shared" si="3"/>
        <v>1</v>
      </c>
      <c r="N12" s="1" t="str">
        <f t="shared" si="4"/>
        <v>)</v>
      </c>
      <c r="O12" s="1" t="str">
        <f t="shared" si="5"/>
        <v>NULL</v>
      </c>
      <c r="P12" s="1" t="str">
        <f t="shared" si="6"/>
        <v/>
      </c>
      <c r="Q12" s="1" t="s">
        <v>113</v>
      </c>
      <c r="S12" s="1" t="str">
        <f>"COMMENT ON COLUMN " &amp; C3 &amp; "." &amp; C12 &amp; " IS '" &amp; B12 &amp; "'"</f>
        <v>COMMENT ON COLUMN VEHICLE.ISREQUIRESEAL IS '봉인여부'</v>
      </c>
    </row>
    <row r="13" spans="1:19" x14ac:dyDescent="0.3">
      <c r="A13" s="2"/>
      <c r="B13" s="2" t="s">
        <v>534</v>
      </c>
      <c r="C13" s="2" t="s">
        <v>217</v>
      </c>
      <c r="D13" s="2"/>
      <c r="E13" s="2" t="s">
        <v>563</v>
      </c>
      <c r="F13" s="2">
        <v>1</v>
      </c>
      <c r="G13" s="2"/>
      <c r="H13" s="2"/>
      <c r="J13" s="1" t="str">
        <f t="shared" si="0"/>
        <v>USEFLAG</v>
      </c>
      <c r="K13" s="1" t="str">
        <f t="shared" si="1"/>
        <v>CHAR</v>
      </c>
      <c r="L13" s="1" t="str">
        <f t="shared" si="2"/>
        <v>(</v>
      </c>
      <c r="M13" s="1">
        <f t="shared" si="3"/>
        <v>1</v>
      </c>
      <c r="N13" s="1" t="str">
        <f t="shared" si="4"/>
        <v>)</v>
      </c>
      <c r="O13" s="1" t="str">
        <f t="shared" si="5"/>
        <v>NULL</v>
      </c>
      <c r="P13" s="1" t="str">
        <f t="shared" si="6"/>
        <v/>
      </c>
      <c r="Q13" s="1" t="s">
        <v>113</v>
      </c>
      <c r="S13" s="1" t="str">
        <f>"COMMENT ON COLUMN " &amp; C3 &amp; "." &amp; C13 &amp; " IS '" &amp; B13 &amp; "'"</f>
        <v>COMMENT ON COLUMN VEHICLE.USEFLAG IS '사용여부'</v>
      </c>
    </row>
    <row r="14" spans="1:19" x14ac:dyDescent="0.3">
      <c r="A14" s="2"/>
      <c r="B14" s="2" t="s">
        <v>111</v>
      </c>
      <c r="C14" s="2" t="s">
        <v>790</v>
      </c>
      <c r="D14" s="2" t="s">
        <v>188</v>
      </c>
      <c r="E14" s="2" t="s">
        <v>618</v>
      </c>
      <c r="F14" s="2">
        <v>20</v>
      </c>
      <c r="G14" s="2" t="s">
        <v>90</v>
      </c>
      <c r="H14" s="18"/>
      <c r="J14" s="1" t="str">
        <f>""&amp;C14&amp;""</f>
        <v>INITBY</v>
      </c>
      <c r="K14" s="1" t="str">
        <f>""&amp;E14&amp;""</f>
        <v>NVARCHAR2</v>
      </c>
      <c r="L14" s="1" t="str">
        <f t="shared" si="2"/>
        <v>(</v>
      </c>
      <c r="M14" s="1">
        <f t="shared" si="3"/>
        <v>20</v>
      </c>
      <c r="N14" s="1" t="str">
        <f t="shared" si="4"/>
        <v>)</v>
      </c>
      <c r="O14" s="1" t="str">
        <f t="shared" si="5"/>
        <v>NOT NULL</v>
      </c>
      <c r="P14" s="1" t="str">
        <f t="shared" si="6"/>
        <v/>
      </c>
      <c r="Q14" s="1" t="s">
        <v>113</v>
      </c>
      <c r="S14" s="1" t="str">
        <f>"COMMENT ON COLUMN " &amp; C3 &amp; "." &amp; C14 &amp; " IS '" &amp; B14 &amp; "'"</f>
        <v>COMMENT ON COLUMN VEHICLE.INITBY IS '입력자'</v>
      </c>
    </row>
    <row r="15" spans="1:19" x14ac:dyDescent="0.3">
      <c r="A15" s="2"/>
      <c r="B15" s="2" t="s">
        <v>254</v>
      </c>
      <c r="C15" s="2" t="s">
        <v>791</v>
      </c>
      <c r="D15" s="2" t="s">
        <v>254</v>
      </c>
      <c r="E15" s="2" t="s">
        <v>228</v>
      </c>
      <c r="F15" s="2"/>
      <c r="G15" s="2" t="s">
        <v>90</v>
      </c>
      <c r="H15" s="2" t="s">
        <v>570</v>
      </c>
      <c r="J15" s="1" t="str">
        <f>""&amp;C15&amp;""</f>
        <v>INITDTTM</v>
      </c>
      <c r="K15" s="1" t="str">
        <f>""&amp;E15&amp;""</f>
        <v>DATE</v>
      </c>
      <c r="L15" s="1" t="str">
        <f t="shared" si="2"/>
        <v/>
      </c>
      <c r="M15" s="1" t="str">
        <f t="shared" si="3"/>
        <v/>
      </c>
      <c r="N15" s="1" t="str">
        <f t="shared" si="4"/>
        <v/>
      </c>
      <c r="O15" s="1" t="str">
        <f t="shared" si="5"/>
        <v>NOT NULL</v>
      </c>
      <c r="P15" s="1" t="str">
        <f t="shared" si="6"/>
        <v>DEFAULT SYSDATE</v>
      </c>
      <c r="Q15" s="1" t="s">
        <v>113</v>
      </c>
      <c r="S15" s="1" t="str">
        <f>"COMMENT ON COLUMN " &amp; C3 &amp; "." &amp; C15 &amp; " IS '" &amp; B15 &amp; "'"</f>
        <v>COMMENT ON COLUMN VEHICLE.INITDTTM IS '입력일시'</v>
      </c>
    </row>
    <row r="16" spans="1:19" x14ac:dyDescent="0.3">
      <c r="A16" s="2"/>
      <c r="B16" s="2" t="s">
        <v>99</v>
      </c>
      <c r="C16" s="2" t="s">
        <v>793</v>
      </c>
      <c r="D16" s="2" t="s">
        <v>197</v>
      </c>
      <c r="E16" s="2" t="s">
        <v>618</v>
      </c>
      <c r="F16" s="2">
        <v>20</v>
      </c>
      <c r="G16" s="2" t="s">
        <v>122</v>
      </c>
      <c r="H16" s="18"/>
      <c r="J16" s="1" t="str">
        <f>""&amp;C16&amp;""</f>
        <v>UPBY</v>
      </c>
      <c r="K16" s="1" t="str">
        <f>""&amp;E16&amp;""</f>
        <v>NVARCHAR2</v>
      </c>
      <c r="L16" s="1" t="str">
        <f t="shared" si="2"/>
        <v>(</v>
      </c>
      <c r="M16" s="1">
        <f t="shared" si="3"/>
        <v>20</v>
      </c>
      <c r="N16" s="1" t="str">
        <f t="shared" si="4"/>
        <v>)</v>
      </c>
      <c r="O16" s="1" t="str">
        <f t="shared" si="5"/>
        <v>NULL</v>
      </c>
      <c r="P16" s="1" t="str">
        <f t="shared" si="6"/>
        <v/>
      </c>
      <c r="Q16" s="1" t="s">
        <v>113</v>
      </c>
      <c r="S16" s="1" t="str">
        <f>"COMMENT ON COLUMN " &amp; C3 &amp; "." &amp; C16 &amp; " IS '" &amp; B16 &amp; "'"</f>
        <v>COMMENT ON COLUMN VEHICLE.UPBY IS '수정자'</v>
      </c>
    </row>
    <row r="17" spans="1:19" x14ac:dyDescent="0.3">
      <c r="A17" s="2"/>
      <c r="B17" s="2" t="s">
        <v>259</v>
      </c>
      <c r="C17" s="2" t="s">
        <v>792</v>
      </c>
      <c r="D17" s="2" t="s">
        <v>259</v>
      </c>
      <c r="E17" s="2" t="s">
        <v>228</v>
      </c>
      <c r="F17" s="2"/>
      <c r="G17" s="2" t="s">
        <v>122</v>
      </c>
      <c r="H17" s="2"/>
      <c r="J17" s="1" t="str">
        <f>""&amp;C17&amp;""</f>
        <v>UPDTTM</v>
      </c>
      <c r="K17" s="1" t="str">
        <f>""&amp;E17&amp;""</f>
        <v>DATE</v>
      </c>
      <c r="L17" s="1" t="str">
        <f t="shared" si="2"/>
        <v/>
      </c>
      <c r="M17" s="1" t="str">
        <f t="shared" si="3"/>
        <v/>
      </c>
      <c r="N17" s="1" t="str">
        <f t="shared" si="4"/>
        <v/>
      </c>
      <c r="O17" s="1" t="str">
        <f t="shared" si="5"/>
        <v>NULL</v>
      </c>
      <c r="P17" s="1" t="str">
        <f t="shared" si="6"/>
        <v/>
      </c>
      <c r="Q17" s="21" t="s">
        <v>723</v>
      </c>
      <c r="S17" s="1" t="str">
        <f>"COMMENT ON COLUMN " &amp; C3 &amp; "." &amp; C17 &amp; " IS '" &amp; B17 &amp; "'"</f>
        <v>COMMENT ON COLUMN VEHICLE.UPDTTM IS '수정일시'</v>
      </c>
    </row>
    <row r="18" spans="1:19" x14ac:dyDescent="0.3">
      <c r="A18"/>
      <c r="B18"/>
      <c r="C18"/>
      <c r="D18"/>
      <c r="E18"/>
      <c r="F18"/>
      <c r="G18"/>
      <c r="H18"/>
      <c r="I18"/>
      <c r="J18" s="13" t="str">
        <f>"ALTER TABLE "&amp;C3&amp;""</f>
        <v>ALTER TABLE VEHICLE</v>
      </c>
      <c r="K18"/>
      <c r="L18"/>
      <c r="M18"/>
      <c r="N18"/>
      <c r="O18"/>
      <c r="P18"/>
      <c r="Q18"/>
      <c r="R18"/>
      <c r="S18"/>
    </row>
    <row r="19" spans="1:19" x14ac:dyDescent="0.3">
      <c r="A19"/>
      <c r="B19"/>
      <c r="C19"/>
      <c r="D19"/>
      <c r="E19"/>
      <c r="F19"/>
      <c r="G19"/>
      <c r="H19"/>
      <c r="I19"/>
      <c r="J19" s="13" t="str" cm="1">
        <f t="array" ref="J19">"ADD CONSTRAINT PK_"&amp;C3&amp;"
PRIMARY KEY (" &amp; _xlfn.TEXTJOIN(", ", TRUE, _xlfn._xlws.FILTER(C6:C54, A6:A54="Y")) &amp; ")"</f>
        <v>ADD CONSTRAINT PK_VEHICLE
PRIMARY KEY (VEHICLE_CODE)</v>
      </c>
      <c r="K19"/>
      <c r="L19"/>
      <c r="M19"/>
      <c r="N19"/>
      <c r="O19"/>
      <c r="P19"/>
      <c r="Q19" s="13" t="s">
        <v>771</v>
      </c>
      <c r="R19"/>
      <c r="S19"/>
    </row>
  </sheetData>
  <phoneticPr fontId="7" type="noConversion"/>
  <hyperlinks>
    <hyperlink ref="A1" location="리스트!A1" display="리스트로 이동" xr:uid="{E3758C10-3338-4DCF-B4C5-9F50AF0E05E7}"/>
  </hyperlinks>
  <pageMargins left="0.74805557727813721" right="0.74805557727813721" top="0.98430556058883667" bottom="0.98430556058883667" header="0.51180553436279297" footer="0.51180553436279297"/>
  <pageSetup paperSize="9" fitToWidth="0" fitToHeight="0" orientation="portrait" horizontalDpi="0" verticalDpi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4EB84-21EC-40AC-B084-C573E3EB33C1}">
  <dimension ref="A1:S21"/>
  <sheetViews>
    <sheetView zoomScaleNormal="100" zoomScaleSheetLayoutView="100" workbookViewId="0">
      <selection activeCell="J3" sqref="J3:Q3"/>
    </sheetView>
  </sheetViews>
  <sheetFormatPr defaultColWidth="9" defaultRowHeight="16.5" x14ac:dyDescent="0.3"/>
  <cols>
    <col min="1" max="1" width="8.625" bestFit="1" customWidth="1"/>
    <col min="2" max="2" width="13.75" bestFit="1" customWidth="1"/>
    <col min="3" max="3" width="14.125" bestFit="1" customWidth="1"/>
    <col min="4" max="4" width="19.375" bestFit="1" customWidth="1"/>
    <col min="5" max="5" width="12.75" bestFit="1" customWidth="1"/>
    <col min="6" max="6" width="6.75" bestFit="1" customWidth="1"/>
    <col min="7" max="7" width="9" bestFit="1" customWidth="1"/>
    <col min="8" max="8" width="9" customWidth="1"/>
    <col min="10" max="11" width="16.875" customWidth="1"/>
    <col min="12" max="12" width="1.625" bestFit="1" customWidth="1"/>
    <col min="13" max="13" width="3.75" customWidth="1"/>
    <col min="14" max="14" width="1.625" bestFit="1" customWidth="1"/>
    <col min="15" max="15" width="10.125" bestFit="1" customWidth="1"/>
    <col min="16" max="16" width="18.375" bestFit="1" customWidth="1"/>
    <col min="17" max="17" width="10.125" bestFit="1" customWidth="1"/>
    <col min="18" max="18" width="16.875" customWidth="1"/>
  </cols>
  <sheetData>
    <row r="1" spans="1:19" x14ac:dyDescent="0.3">
      <c r="A1" s="16" t="s">
        <v>615</v>
      </c>
    </row>
    <row r="2" spans="1:19" x14ac:dyDescent="0.3">
      <c r="A2" s="2"/>
      <c r="B2" s="2" t="s">
        <v>116</v>
      </c>
      <c r="C2" s="2" t="s">
        <v>119</v>
      </c>
      <c r="D2" s="2" t="s">
        <v>112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3">
      <c r="A3" s="2"/>
      <c r="B3" s="2" t="s">
        <v>121</v>
      </c>
      <c r="C3" s="12" t="s">
        <v>660</v>
      </c>
      <c r="D3" s="2" t="s">
        <v>214</v>
      </c>
      <c r="E3" s="1"/>
      <c r="F3" s="1"/>
      <c r="G3" s="1"/>
      <c r="H3" s="1"/>
      <c r="I3" s="1"/>
      <c r="J3" s="13" t="str">
        <f>"DROP TABLE "&amp;C3&amp;" CASCADE CONSTRAINTS PURGE"</f>
        <v>DROP TABLE EMPLOYEES CASCADE CONSTRAINTS PURGE</v>
      </c>
      <c r="K3" s="1"/>
      <c r="L3" s="1"/>
      <c r="M3" s="1"/>
      <c r="N3" s="1"/>
      <c r="O3" s="1"/>
      <c r="P3" s="21"/>
      <c r="Q3" s="21" t="s">
        <v>771</v>
      </c>
      <c r="R3" s="1"/>
      <c r="S3" s="1"/>
    </row>
    <row r="4" spans="1:19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3">
      <c r="A5" s="2" t="s">
        <v>88</v>
      </c>
      <c r="B5" s="2" t="s">
        <v>215</v>
      </c>
      <c r="C5" s="2" t="s">
        <v>252</v>
      </c>
      <c r="D5" s="2" t="s">
        <v>169</v>
      </c>
      <c r="E5" s="2" t="s">
        <v>265</v>
      </c>
      <c r="F5" s="2" t="s">
        <v>101</v>
      </c>
      <c r="G5" s="2" t="s">
        <v>205</v>
      </c>
      <c r="H5" s="12" t="s">
        <v>569</v>
      </c>
      <c r="I5" s="1"/>
      <c r="J5" s="1" t="str">
        <f>"CREATE TABLE "&amp;C3&amp;" ("</f>
        <v>CREATE TABLE EMPLOYEES (</v>
      </c>
      <c r="K5" s="1"/>
      <c r="L5" s="1"/>
      <c r="M5" s="1"/>
      <c r="N5" s="1"/>
      <c r="O5" s="1"/>
      <c r="P5" s="1"/>
      <c r="Q5" s="1"/>
      <c r="R5" s="1"/>
      <c r="S5" s="1" t="str">
        <f>"COMMENT ON TABLE " &amp; C3 &amp; " IS '" &amp; SUBSTITUTE(B3,"'","''") &amp; "'"</f>
        <v>COMMENT ON TABLE EMPLOYEES IS '사용자'</v>
      </c>
    </row>
    <row r="6" spans="1:19" x14ac:dyDescent="0.3">
      <c r="A6" s="2" t="s">
        <v>122</v>
      </c>
      <c r="B6" s="2" t="s">
        <v>20</v>
      </c>
      <c r="C6" s="2" t="s">
        <v>528</v>
      </c>
      <c r="D6" s="2" t="s">
        <v>293</v>
      </c>
      <c r="E6" s="2" t="s">
        <v>618</v>
      </c>
      <c r="F6" s="2">
        <v>10</v>
      </c>
      <c r="G6" s="2" t="s">
        <v>90</v>
      </c>
      <c r="H6" s="12"/>
      <c r="I6" s="1"/>
      <c r="J6" s="1" t="str">
        <f t="shared" ref="J6:J15" si="0">""&amp;C6&amp;""</f>
        <v>PLANT_CODE</v>
      </c>
      <c r="K6" s="1" t="str">
        <f t="shared" ref="K6:K15" si="1">""&amp;E6&amp;""</f>
        <v>NVARCHAR2</v>
      </c>
      <c r="L6" s="1" t="str">
        <f t="shared" ref="L6:L19" si="2">IF(F6="","","(")</f>
        <v>(</v>
      </c>
      <c r="M6" s="1">
        <f t="shared" ref="M6:M19" si="3">IF(F6="","",F6)</f>
        <v>10</v>
      </c>
      <c r="N6" s="1" t="str">
        <f t="shared" ref="N6:N19" si="4">IF(F6="","",")")</f>
        <v>)</v>
      </c>
      <c r="O6" s="1" t="str">
        <f>IF(G6="N","NOT NULL","NULL")</f>
        <v>NOT NULL</v>
      </c>
      <c r="P6" s="1" t="str">
        <f>IF(H6&lt;&gt;"","DEFAULT "&amp;H6,"")</f>
        <v/>
      </c>
      <c r="Q6" s="1" t="s">
        <v>113</v>
      </c>
      <c r="S6" s="1" t="str">
        <f>"COMMENT ON COLUMN " &amp; C3 &amp; "." &amp; C6 &amp; " IS '" &amp; B6 &amp; "'"</f>
        <v>COMMENT ON COLUMN EMPLOYEES.PLANT_CODE IS '고객사'</v>
      </c>
    </row>
    <row r="7" spans="1:19" x14ac:dyDescent="0.3">
      <c r="A7" s="2" t="s">
        <v>122</v>
      </c>
      <c r="B7" s="2" t="s">
        <v>224</v>
      </c>
      <c r="C7" s="2" t="s">
        <v>161</v>
      </c>
      <c r="D7" s="2" t="s">
        <v>224</v>
      </c>
      <c r="E7" s="2" t="s">
        <v>618</v>
      </c>
      <c r="F7" s="2">
        <v>20</v>
      </c>
      <c r="G7" s="2" t="s">
        <v>90</v>
      </c>
      <c r="H7" s="12"/>
      <c r="I7" s="1"/>
      <c r="J7" s="1" t="str">
        <f t="shared" si="0"/>
        <v>EMPLOYEE_NO</v>
      </c>
      <c r="K7" s="1" t="str">
        <f t="shared" si="1"/>
        <v>NVARCHAR2</v>
      </c>
      <c r="L7" s="1" t="str">
        <f t="shared" si="2"/>
        <v>(</v>
      </c>
      <c r="M7" s="1">
        <f t="shared" si="3"/>
        <v>20</v>
      </c>
      <c r="N7" s="1" t="str">
        <f t="shared" si="4"/>
        <v>)</v>
      </c>
      <c r="O7" s="1" t="str">
        <f t="shared" ref="O7:O19" si="5">IF(G7="N","NOT NULL","NULL")</f>
        <v>NOT NULL</v>
      </c>
      <c r="P7" s="1" t="str">
        <f t="shared" ref="P7:P19" si="6">IF(H7&lt;&gt;"","DEFAULT "&amp;H7,"")</f>
        <v/>
      </c>
      <c r="Q7" s="1" t="s">
        <v>113</v>
      </c>
      <c r="R7" s="1"/>
      <c r="S7" s="1" t="str">
        <f>"COMMENT ON COLUMN " &amp; C3 &amp; "." &amp; C7 &amp; " IS '" &amp; B7 &amp; "'"</f>
        <v>COMMENT ON COLUMN EMPLOYEES.EMPLOYEE_NO IS '사원번호'</v>
      </c>
    </row>
    <row r="8" spans="1:19" x14ac:dyDescent="0.3">
      <c r="A8" s="2"/>
      <c r="B8" s="2" t="s">
        <v>114</v>
      </c>
      <c r="C8" s="2" t="s">
        <v>200</v>
      </c>
      <c r="D8" s="2" t="s">
        <v>114</v>
      </c>
      <c r="E8" s="2" t="s">
        <v>618</v>
      </c>
      <c r="F8" s="2">
        <v>50</v>
      </c>
      <c r="G8" s="2" t="s">
        <v>90</v>
      </c>
      <c r="H8" s="12"/>
      <c r="I8" s="1"/>
      <c r="J8" s="1" t="str">
        <f t="shared" si="0"/>
        <v>EMPLOYEE_NAME</v>
      </c>
      <c r="K8" s="1" t="str">
        <f t="shared" si="1"/>
        <v>NVARCHAR2</v>
      </c>
      <c r="L8" s="1" t="str">
        <f t="shared" si="2"/>
        <v>(</v>
      </c>
      <c r="M8" s="1">
        <f t="shared" si="3"/>
        <v>50</v>
      </c>
      <c r="N8" s="1" t="str">
        <f t="shared" si="4"/>
        <v>)</v>
      </c>
      <c r="O8" s="1" t="str">
        <f t="shared" si="5"/>
        <v>NOT NULL</v>
      </c>
      <c r="P8" s="1" t="str">
        <f t="shared" si="6"/>
        <v/>
      </c>
      <c r="Q8" s="1" t="s">
        <v>113</v>
      </c>
      <c r="R8" s="1"/>
      <c r="S8" s="1" t="str">
        <f>"COMMENT ON COLUMN " &amp; C3 &amp; "." &amp; C8 &amp; " IS '" &amp; B8 &amp; "'"</f>
        <v>COMMENT ON COLUMN EMPLOYEES.EMPLOYEE_NAME IS '사원명'</v>
      </c>
    </row>
    <row r="9" spans="1:19" x14ac:dyDescent="0.3">
      <c r="A9" s="2"/>
      <c r="B9" s="2" t="s">
        <v>209</v>
      </c>
      <c r="C9" s="2" t="s">
        <v>141</v>
      </c>
      <c r="D9" s="2" t="s">
        <v>209</v>
      </c>
      <c r="E9" s="2" t="s">
        <v>618</v>
      </c>
      <c r="F9" s="2">
        <v>100</v>
      </c>
      <c r="G9" s="2" t="s">
        <v>90</v>
      </c>
      <c r="H9" s="12"/>
      <c r="I9" s="1"/>
      <c r="J9" s="1" t="str">
        <f t="shared" si="0"/>
        <v>PASSWORD</v>
      </c>
      <c r="K9" s="1" t="str">
        <f t="shared" si="1"/>
        <v>NVARCHAR2</v>
      </c>
      <c r="L9" s="1" t="str">
        <f t="shared" si="2"/>
        <v>(</v>
      </c>
      <c r="M9" s="1">
        <f t="shared" si="3"/>
        <v>100</v>
      </c>
      <c r="N9" s="1" t="str">
        <f t="shared" si="4"/>
        <v>)</v>
      </c>
      <c r="O9" s="1" t="str">
        <f t="shared" si="5"/>
        <v>NOT NULL</v>
      </c>
      <c r="P9" s="1" t="str">
        <f t="shared" si="6"/>
        <v/>
      </c>
      <c r="Q9" s="1" t="s">
        <v>113</v>
      </c>
      <c r="R9" s="1"/>
      <c r="S9" s="1" t="str">
        <f>"COMMENT ON COLUMN " &amp; C3 &amp; "." &amp; C9 &amp; " IS '" &amp; B9 &amp; "'"</f>
        <v>COMMENT ON COLUMN EMPLOYEES.PASSWORD IS '비밀번호'</v>
      </c>
    </row>
    <row r="10" spans="1:19" x14ac:dyDescent="0.3">
      <c r="A10" s="2"/>
      <c r="B10" s="2" t="s">
        <v>237</v>
      </c>
      <c r="C10" s="2" t="s">
        <v>162</v>
      </c>
      <c r="D10" s="2" t="s">
        <v>237</v>
      </c>
      <c r="E10" s="2" t="s">
        <v>618</v>
      </c>
      <c r="F10" s="2">
        <v>6</v>
      </c>
      <c r="G10" s="2" t="s">
        <v>90</v>
      </c>
      <c r="H10" s="12"/>
      <c r="I10" s="1"/>
      <c r="J10" s="1" t="str">
        <f t="shared" si="0"/>
        <v>JUMIN_FIRST</v>
      </c>
      <c r="K10" s="1" t="str">
        <f t="shared" si="1"/>
        <v>NVARCHAR2</v>
      </c>
      <c r="L10" s="1" t="str">
        <f t="shared" si="2"/>
        <v>(</v>
      </c>
      <c r="M10" s="1">
        <f t="shared" si="3"/>
        <v>6</v>
      </c>
      <c r="N10" s="1" t="str">
        <f t="shared" si="4"/>
        <v>)</v>
      </c>
      <c r="O10" s="1" t="str">
        <f t="shared" si="5"/>
        <v>NOT NULL</v>
      </c>
      <c r="P10" s="1" t="str">
        <f t="shared" si="6"/>
        <v/>
      </c>
      <c r="Q10" s="1" t="s">
        <v>113</v>
      </c>
      <c r="R10" s="1"/>
      <c r="S10" s="1" t="str">
        <f>"COMMENT ON COLUMN " &amp; C3 &amp; "." &amp; C10 &amp; " IS '" &amp; B10 &amp; "'"</f>
        <v>COMMENT ON COLUMN EMPLOYEES.JUMIN_FIRST IS '주민번호앞자리'</v>
      </c>
    </row>
    <row r="11" spans="1:19" x14ac:dyDescent="0.3">
      <c r="A11" s="2"/>
      <c r="B11" s="2" t="s">
        <v>263</v>
      </c>
      <c r="C11" s="2" t="s">
        <v>163</v>
      </c>
      <c r="D11" s="2" t="s">
        <v>263</v>
      </c>
      <c r="E11" s="2" t="s">
        <v>618</v>
      </c>
      <c r="F11" s="2">
        <v>7</v>
      </c>
      <c r="G11" s="2" t="s">
        <v>122</v>
      </c>
      <c r="H11" s="12"/>
      <c r="I11" s="1"/>
      <c r="J11" s="1" t="str">
        <f t="shared" si="0"/>
        <v>JUMIN_LAST</v>
      </c>
      <c r="K11" s="1" t="str">
        <f t="shared" si="1"/>
        <v>NVARCHAR2</v>
      </c>
      <c r="L11" s="1" t="str">
        <f t="shared" si="2"/>
        <v>(</v>
      </c>
      <c r="M11" s="1">
        <f t="shared" si="3"/>
        <v>7</v>
      </c>
      <c r="N11" s="1" t="str">
        <f t="shared" si="4"/>
        <v>)</v>
      </c>
      <c r="O11" s="1" t="str">
        <f t="shared" si="5"/>
        <v>NULL</v>
      </c>
      <c r="P11" s="1" t="str">
        <f t="shared" si="6"/>
        <v/>
      </c>
      <c r="Q11" s="1" t="s">
        <v>113</v>
      </c>
      <c r="R11" s="1"/>
      <c r="S11" s="1" t="str">
        <f>"COMMENT ON COLUMN " &amp; C3 &amp; "." &amp; C11 &amp; " IS '" &amp; B11 &amp; "'"</f>
        <v>COMMENT ON COLUMN EMPLOYEES.JUMIN_LAST IS '주민번호뒷자리'</v>
      </c>
    </row>
    <row r="12" spans="1:19" x14ac:dyDescent="0.3">
      <c r="A12" s="2"/>
      <c r="B12" s="2" t="s">
        <v>120</v>
      </c>
      <c r="C12" s="2" t="s">
        <v>261</v>
      </c>
      <c r="D12" s="2" t="s">
        <v>120</v>
      </c>
      <c r="E12" s="2" t="s">
        <v>618</v>
      </c>
      <c r="F12" s="2">
        <v>250</v>
      </c>
      <c r="G12" s="2" t="s">
        <v>122</v>
      </c>
      <c r="H12" s="12"/>
      <c r="I12" s="1"/>
      <c r="J12" s="1" t="str">
        <f t="shared" si="0"/>
        <v>ADDRESS</v>
      </c>
      <c r="K12" s="1" t="str">
        <f t="shared" si="1"/>
        <v>NVARCHAR2</v>
      </c>
      <c r="L12" s="1" t="str">
        <f t="shared" si="2"/>
        <v>(</v>
      </c>
      <c r="M12" s="1">
        <f t="shared" si="3"/>
        <v>250</v>
      </c>
      <c r="N12" s="1" t="str">
        <f t="shared" si="4"/>
        <v>)</v>
      </c>
      <c r="O12" s="1" t="str">
        <f t="shared" si="5"/>
        <v>NULL</v>
      </c>
      <c r="P12" s="1" t="str">
        <f t="shared" si="6"/>
        <v/>
      </c>
      <c r="Q12" s="1" t="s">
        <v>113</v>
      </c>
      <c r="R12" s="1"/>
      <c r="S12" s="1" t="str">
        <f>"COMMENT ON COLUMN " &amp; C3 &amp; "." &amp; C12 &amp; " IS '" &amp; B12 &amp; "'"</f>
        <v>COMMENT ON COLUMN EMPLOYEES.ADDRESS IS '주소'</v>
      </c>
    </row>
    <row r="13" spans="1:19" x14ac:dyDescent="0.3">
      <c r="A13" s="2"/>
      <c r="B13" s="2" t="s">
        <v>107</v>
      </c>
      <c r="C13" s="2" t="s">
        <v>85</v>
      </c>
      <c r="D13" s="2" t="s">
        <v>107</v>
      </c>
      <c r="E13" s="2" t="s">
        <v>618</v>
      </c>
      <c r="F13" s="2">
        <v>20</v>
      </c>
      <c r="G13" s="2" t="s">
        <v>122</v>
      </c>
      <c r="H13" s="12"/>
      <c r="I13" s="1"/>
      <c r="J13" s="1" t="str">
        <f t="shared" si="0"/>
        <v>TEL</v>
      </c>
      <c r="K13" s="1" t="str">
        <f t="shared" si="1"/>
        <v>NVARCHAR2</v>
      </c>
      <c r="L13" s="1" t="str">
        <f t="shared" si="2"/>
        <v>(</v>
      </c>
      <c r="M13" s="1">
        <f t="shared" si="3"/>
        <v>20</v>
      </c>
      <c r="N13" s="1" t="str">
        <f t="shared" si="4"/>
        <v>)</v>
      </c>
      <c r="O13" s="1" t="str">
        <f t="shared" si="5"/>
        <v>NULL</v>
      </c>
      <c r="P13" s="1" t="str">
        <f t="shared" si="6"/>
        <v/>
      </c>
      <c r="Q13" s="1" t="s">
        <v>113</v>
      </c>
      <c r="R13" s="1"/>
      <c r="S13" s="1" t="str">
        <f>"COMMENT ON COLUMN " &amp; C3 &amp; "." &amp; C13 &amp; " IS '" &amp; B13 &amp; "'"</f>
        <v>COMMENT ON COLUMN EMPLOYEES.TEL IS '연락처'</v>
      </c>
    </row>
    <row r="14" spans="1:19" x14ac:dyDescent="0.3">
      <c r="A14" s="2"/>
      <c r="B14" s="2" t="s">
        <v>87</v>
      </c>
      <c r="C14" s="2" t="s">
        <v>226</v>
      </c>
      <c r="D14" s="2" t="s">
        <v>87</v>
      </c>
      <c r="E14" s="2" t="s">
        <v>618</v>
      </c>
      <c r="F14" s="2">
        <v>50</v>
      </c>
      <c r="G14" s="2" t="s">
        <v>122</v>
      </c>
      <c r="H14" s="12"/>
      <c r="I14" s="1"/>
      <c r="J14" s="1" t="str">
        <f t="shared" si="0"/>
        <v>EMAIL</v>
      </c>
      <c r="K14" s="1" t="str">
        <f t="shared" si="1"/>
        <v>NVARCHAR2</v>
      </c>
      <c r="L14" s="1" t="str">
        <f t="shared" si="2"/>
        <v>(</v>
      </c>
      <c r="M14" s="1">
        <f t="shared" si="3"/>
        <v>50</v>
      </c>
      <c r="N14" s="1" t="str">
        <f t="shared" si="4"/>
        <v>)</v>
      </c>
      <c r="O14" s="1" t="str">
        <f t="shared" si="5"/>
        <v>NULL</v>
      </c>
      <c r="P14" s="1" t="str">
        <f t="shared" si="6"/>
        <v/>
      </c>
      <c r="Q14" s="1" t="s">
        <v>113</v>
      </c>
      <c r="R14" s="1"/>
      <c r="S14" s="1" t="str">
        <f>"COMMENT ON COLUMN " &amp; C3 &amp; "." &amp; C14 &amp; " IS '" &amp; B14 &amp; "'"</f>
        <v>COMMENT ON COLUMN EMPLOYEES.EMAIL IS '이메일'</v>
      </c>
    </row>
    <row r="15" spans="1:19" x14ac:dyDescent="0.3">
      <c r="A15" s="2"/>
      <c r="B15" s="2" t="s">
        <v>201</v>
      </c>
      <c r="C15" s="2" t="s">
        <v>160</v>
      </c>
      <c r="D15" s="2" t="s">
        <v>201</v>
      </c>
      <c r="E15" s="2" t="s">
        <v>618</v>
      </c>
      <c r="F15" s="2">
        <v>10</v>
      </c>
      <c r="G15" s="2" t="s">
        <v>122</v>
      </c>
      <c r="H15" s="12"/>
      <c r="I15" s="1"/>
      <c r="J15" s="1" t="str">
        <f t="shared" si="0"/>
        <v>AUTH_TYPE</v>
      </c>
      <c r="K15" s="1" t="str">
        <f t="shared" si="1"/>
        <v>NVARCHAR2</v>
      </c>
      <c r="L15" s="1" t="str">
        <f t="shared" si="2"/>
        <v>(</v>
      </c>
      <c r="M15" s="1">
        <f t="shared" si="3"/>
        <v>10</v>
      </c>
      <c r="N15" s="1" t="str">
        <f t="shared" si="4"/>
        <v>)</v>
      </c>
      <c r="O15" s="1" t="str">
        <f t="shared" si="5"/>
        <v>NULL</v>
      </c>
      <c r="P15" s="1" t="str">
        <f t="shared" si="6"/>
        <v/>
      </c>
      <c r="Q15" s="1" t="s">
        <v>113</v>
      </c>
      <c r="R15" s="1"/>
      <c r="S15" s="1" t="str">
        <f>"COMMENT ON COLUMN " &amp; C3 &amp; "." &amp; C15 &amp; " IS '" &amp; B15 &amp; "'"</f>
        <v>COMMENT ON COLUMN EMPLOYEES.AUTH_TYPE IS '권한타입'</v>
      </c>
    </row>
    <row r="16" spans="1:19" x14ac:dyDescent="0.3">
      <c r="A16" s="2"/>
      <c r="B16" s="2" t="s">
        <v>111</v>
      </c>
      <c r="C16" s="2" t="s">
        <v>790</v>
      </c>
      <c r="D16" s="2" t="s">
        <v>188</v>
      </c>
      <c r="E16" s="2" t="s">
        <v>618</v>
      </c>
      <c r="F16" s="2">
        <v>20</v>
      </c>
      <c r="G16" s="2" t="s">
        <v>90</v>
      </c>
      <c r="H16" s="15"/>
      <c r="I16" s="1"/>
      <c r="J16" s="1" t="str">
        <f>""&amp;C16&amp;""</f>
        <v>INITBY</v>
      </c>
      <c r="K16" s="1" t="str">
        <f>""&amp;E16&amp;""</f>
        <v>NVARCHAR2</v>
      </c>
      <c r="L16" s="1" t="str">
        <f t="shared" si="2"/>
        <v>(</v>
      </c>
      <c r="M16" s="1">
        <f t="shared" si="3"/>
        <v>20</v>
      </c>
      <c r="N16" s="1" t="str">
        <f t="shared" si="4"/>
        <v>)</v>
      </c>
      <c r="O16" s="1" t="str">
        <f t="shared" si="5"/>
        <v>NOT NULL</v>
      </c>
      <c r="P16" s="1" t="str">
        <f t="shared" si="6"/>
        <v/>
      </c>
      <c r="Q16" s="1" t="s">
        <v>113</v>
      </c>
      <c r="R16" s="1"/>
      <c r="S16" s="1" t="str">
        <f>"COMMENT ON COLUMN " &amp; C3 &amp; "." &amp; C16 &amp; " IS '" &amp; B16 &amp; "'"</f>
        <v>COMMENT ON COLUMN EMPLOYEES.INITBY IS '입력자'</v>
      </c>
    </row>
    <row r="17" spans="1:19" x14ac:dyDescent="0.3">
      <c r="A17" s="2"/>
      <c r="B17" s="2" t="s">
        <v>254</v>
      </c>
      <c r="C17" s="2" t="s">
        <v>791</v>
      </c>
      <c r="D17" s="2" t="s">
        <v>254</v>
      </c>
      <c r="E17" s="2" t="s">
        <v>228</v>
      </c>
      <c r="F17" s="2"/>
      <c r="G17" s="2" t="s">
        <v>90</v>
      </c>
      <c r="H17" s="12" t="s">
        <v>570</v>
      </c>
      <c r="I17" s="1"/>
      <c r="J17" s="1" t="str">
        <f>""&amp;C17&amp;""</f>
        <v>INITDTTM</v>
      </c>
      <c r="K17" s="1" t="str">
        <f>""&amp;E17&amp;""</f>
        <v>DATE</v>
      </c>
      <c r="L17" s="1" t="str">
        <f t="shared" si="2"/>
        <v/>
      </c>
      <c r="M17" s="1" t="str">
        <f t="shared" si="3"/>
        <v/>
      </c>
      <c r="N17" s="1" t="str">
        <f t="shared" si="4"/>
        <v/>
      </c>
      <c r="O17" s="1" t="str">
        <f t="shared" si="5"/>
        <v>NOT NULL</v>
      </c>
      <c r="P17" s="1" t="str">
        <f t="shared" si="6"/>
        <v>DEFAULT SYSDATE</v>
      </c>
      <c r="Q17" s="1" t="s">
        <v>113</v>
      </c>
      <c r="R17" s="1"/>
      <c r="S17" s="1" t="str">
        <f>"COMMENT ON COLUMN " &amp; C3 &amp; "." &amp; C17 &amp; " IS '" &amp; B17 &amp; "'"</f>
        <v>COMMENT ON COLUMN EMPLOYEES.INITDTTM IS '입력일시'</v>
      </c>
    </row>
    <row r="18" spans="1:19" x14ac:dyDescent="0.3">
      <c r="A18" s="2"/>
      <c r="B18" s="2" t="s">
        <v>99</v>
      </c>
      <c r="C18" s="2" t="s">
        <v>793</v>
      </c>
      <c r="D18" s="2" t="s">
        <v>197</v>
      </c>
      <c r="E18" s="2" t="s">
        <v>618</v>
      </c>
      <c r="F18" s="2">
        <v>20</v>
      </c>
      <c r="G18" s="2" t="s">
        <v>122</v>
      </c>
      <c r="H18" s="15"/>
      <c r="I18" s="1"/>
      <c r="J18" s="1" t="str">
        <f>""&amp;C18&amp;""</f>
        <v>UPBY</v>
      </c>
      <c r="K18" s="1" t="str">
        <f>""&amp;E18&amp;""</f>
        <v>NVARCHAR2</v>
      </c>
      <c r="L18" s="1" t="str">
        <f t="shared" si="2"/>
        <v>(</v>
      </c>
      <c r="M18" s="1">
        <f t="shared" si="3"/>
        <v>20</v>
      </c>
      <c r="N18" s="1" t="str">
        <f t="shared" si="4"/>
        <v>)</v>
      </c>
      <c r="O18" s="1" t="str">
        <f t="shared" si="5"/>
        <v>NULL</v>
      </c>
      <c r="P18" s="1" t="str">
        <f t="shared" si="6"/>
        <v/>
      </c>
      <c r="Q18" s="1" t="s">
        <v>113</v>
      </c>
      <c r="R18" s="1"/>
      <c r="S18" s="1" t="str">
        <f>"COMMENT ON COLUMN " &amp; C3 &amp; "." &amp; C18 &amp; " IS '" &amp; B18 &amp; "'"</f>
        <v>COMMENT ON COLUMN EMPLOYEES.UPBY IS '수정자'</v>
      </c>
    </row>
    <row r="19" spans="1:19" x14ac:dyDescent="0.3">
      <c r="A19" s="2"/>
      <c r="B19" s="2" t="s">
        <v>259</v>
      </c>
      <c r="C19" s="2" t="s">
        <v>792</v>
      </c>
      <c r="D19" s="2" t="s">
        <v>259</v>
      </c>
      <c r="E19" s="2" t="s">
        <v>228</v>
      </c>
      <c r="F19" s="2"/>
      <c r="G19" s="2" t="s">
        <v>122</v>
      </c>
      <c r="H19" s="12"/>
      <c r="I19" s="1"/>
      <c r="J19" s="1" t="str">
        <f>""&amp;C19&amp;""</f>
        <v>UPDTTM</v>
      </c>
      <c r="K19" s="1" t="str">
        <f>""&amp;E19&amp;""</f>
        <v>DATE</v>
      </c>
      <c r="L19" s="1" t="str">
        <f t="shared" si="2"/>
        <v/>
      </c>
      <c r="M19" s="1" t="str">
        <f t="shared" si="3"/>
        <v/>
      </c>
      <c r="N19" s="1" t="str">
        <f t="shared" si="4"/>
        <v/>
      </c>
      <c r="O19" s="1" t="str">
        <f t="shared" si="5"/>
        <v>NULL</v>
      </c>
      <c r="P19" s="1" t="str">
        <f t="shared" si="6"/>
        <v/>
      </c>
      <c r="Q19" s="21" t="s">
        <v>723</v>
      </c>
      <c r="R19" s="1"/>
      <c r="S19" s="1" t="str">
        <f>"COMMENT ON COLUMN " &amp; C3 &amp; "." &amp; C19 &amp; " IS '" &amp; B19 &amp; "'"</f>
        <v>COMMENT ON COLUMN EMPLOYEES.UPDTTM IS '수정일시'</v>
      </c>
    </row>
    <row r="20" spans="1:19" x14ac:dyDescent="0.3">
      <c r="J20" s="13" t="str">
        <f>"ALTER TABLE "&amp;C3&amp;""</f>
        <v>ALTER TABLE EMPLOYEES</v>
      </c>
    </row>
    <row r="21" spans="1:19" x14ac:dyDescent="0.3">
      <c r="J21" s="13" t="str" cm="1">
        <f t="array" ref="J21">"ADD CONSTRAINT PK_"&amp;C3&amp;" PRIMARY KEY (" &amp; _xlfn.TEXTJOIN(", ", TRUE, _xlfn._xlws.FILTER(C6:C64, A6:A64="Y")) &amp; ")"</f>
        <v>ADD CONSTRAINT PK_EMPLOYEES PRIMARY KEY (PLANT_CODE, EMPLOYEE_NO)</v>
      </c>
      <c r="Q21" s="13" t="s">
        <v>771</v>
      </c>
    </row>
  </sheetData>
  <phoneticPr fontId="7" type="noConversion"/>
  <hyperlinks>
    <hyperlink ref="A1" location="리스트!A1" display="리스트로 이동" xr:uid="{836F298F-9536-415A-B75F-72D10C73AE1B}"/>
  </hyperlinks>
  <pageMargins left="0.74805557727813721" right="0.74805557727813721" top="0.98430556058883667" bottom="0.98430556058883667" header="0.51166665554046631" footer="0.51166665554046631"/>
  <pageSetup paperSize="9" fitToWidth="0" fitToHeight="0" orientation="portrait" horizontalDpi="0" verticalDpi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C903B-FEA8-4591-B30E-4BAC5946A860}">
  <dimension ref="A1:S17"/>
  <sheetViews>
    <sheetView zoomScaleNormal="100" zoomScaleSheetLayoutView="100" workbookViewId="0">
      <selection activeCell="J3" sqref="J3:Q3"/>
    </sheetView>
  </sheetViews>
  <sheetFormatPr defaultColWidth="9" defaultRowHeight="16.5" x14ac:dyDescent="0.3"/>
  <cols>
    <col min="1" max="1" width="8.625" bestFit="1" customWidth="1"/>
    <col min="2" max="2" width="13.75" bestFit="1" customWidth="1"/>
    <col min="3" max="3" width="14.125" bestFit="1" customWidth="1"/>
    <col min="4" max="4" width="19.375" bestFit="1" customWidth="1"/>
    <col min="5" max="5" width="12.75" bestFit="1" customWidth="1"/>
    <col min="6" max="6" width="6.75" bestFit="1" customWidth="1"/>
    <col min="7" max="7" width="9" bestFit="1" customWidth="1"/>
    <col min="8" max="8" width="9" customWidth="1"/>
    <col min="10" max="11" width="16.875" customWidth="1"/>
    <col min="12" max="12" width="1.625" bestFit="1" customWidth="1"/>
    <col min="13" max="13" width="3.75" customWidth="1"/>
    <col min="14" max="14" width="1.625" bestFit="1" customWidth="1"/>
    <col min="15" max="15" width="10.125" bestFit="1" customWidth="1"/>
    <col min="16" max="16" width="18.375" bestFit="1" customWidth="1"/>
    <col min="17" max="17" width="10.125" bestFit="1" customWidth="1"/>
    <col min="18" max="18" width="16.875" customWidth="1"/>
  </cols>
  <sheetData>
    <row r="1" spans="1:19" x14ac:dyDescent="0.3">
      <c r="A1" s="16" t="s">
        <v>615</v>
      </c>
    </row>
    <row r="2" spans="1:19" x14ac:dyDescent="0.3">
      <c r="A2" s="2"/>
      <c r="B2" s="2" t="s">
        <v>116</v>
      </c>
      <c r="C2" s="2" t="s">
        <v>119</v>
      </c>
      <c r="D2" s="2" t="s">
        <v>112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3">
      <c r="A3" s="2"/>
      <c r="B3" s="2" t="s">
        <v>202</v>
      </c>
      <c r="C3" s="12" t="s">
        <v>661</v>
      </c>
      <c r="D3" s="2"/>
      <c r="E3" s="1"/>
      <c r="F3" s="1"/>
      <c r="G3" s="1"/>
      <c r="H3" s="1"/>
      <c r="I3" s="1"/>
      <c r="J3" s="13" t="str">
        <f>"DROP TABLE "&amp;C3&amp;" CASCADE CONSTRAINTS PURGE"</f>
        <v>DROP TABLE MENU_INFO CASCADE CONSTRAINTS PURGE</v>
      </c>
      <c r="K3" s="1"/>
      <c r="L3" s="1"/>
      <c r="M3" s="1"/>
      <c r="N3" s="1"/>
      <c r="O3" s="1"/>
      <c r="P3" s="21"/>
      <c r="Q3" s="21" t="s">
        <v>771</v>
      </c>
      <c r="R3" s="1"/>
      <c r="S3" s="1"/>
    </row>
    <row r="4" spans="1:19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3">
      <c r="A5" s="2" t="s">
        <v>88</v>
      </c>
      <c r="B5" s="2" t="s">
        <v>215</v>
      </c>
      <c r="C5" s="2" t="s">
        <v>252</v>
      </c>
      <c r="D5" s="2" t="s">
        <v>169</v>
      </c>
      <c r="E5" s="2" t="s">
        <v>265</v>
      </c>
      <c r="F5" s="2" t="s">
        <v>101</v>
      </c>
      <c r="G5" s="2" t="s">
        <v>205</v>
      </c>
      <c r="H5" s="12" t="s">
        <v>569</v>
      </c>
      <c r="I5" s="1"/>
      <c r="J5" s="1" t="str">
        <f>"CREATE TABLE "&amp;C3&amp;" ("</f>
        <v>CREATE TABLE MENU_INFO (</v>
      </c>
      <c r="K5" s="1"/>
      <c r="L5" s="1"/>
      <c r="M5" s="1"/>
      <c r="N5" s="1"/>
      <c r="O5" s="1"/>
      <c r="P5" s="1"/>
      <c r="Q5" s="1"/>
      <c r="R5" s="1"/>
      <c r="S5" s="1" t="str">
        <f>"COMMENT ON TABLE " &amp; C3 &amp; " IS '" &amp; SUBSTITUTE(B3,"'","''") &amp; "'"</f>
        <v>COMMENT ON TABLE MENU_INFO IS '메뉴관리'</v>
      </c>
    </row>
    <row r="6" spans="1:19" x14ac:dyDescent="0.3">
      <c r="A6" s="2" t="s">
        <v>122</v>
      </c>
      <c r="B6" s="2" t="s">
        <v>207</v>
      </c>
      <c r="C6" s="2" t="s">
        <v>236</v>
      </c>
      <c r="D6" s="2" t="s">
        <v>207</v>
      </c>
      <c r="E6" s="2" t="s">
        <v>618</v>
      </c>
      <c r="F6" s="2">
        <v>20</v>
      </c>
      <c r="G6" s="2" t="s">
        <v>90</v>
      </c>
      <c r="H6" s="12"/>
      <c r="I6" s="1"/>
      <c r="J6" s="1" t="str">
        <f t="shared" ref="J6:J11" si="0">""&amp;C6&amp;""</f>
        <v>MENU_ID</v>
      </c>
      <c r="K6" s="1" t="str">
        <f t="shared" ref="K6:K11" si="1">""&amp;E6&amp;""</f>
        <v>NVARCHAR2</v>
      </c>
      <c r="L6" s="1" t="str">
        <f t="shared" ref="L6:L15" si="2">IF(F6="","","(")</f>
        <v>(</v>
      </c>
      <c r="M6" s="1">
        <f t="shared" ref="M6:M15" si="3">IF(F6="","",F6)</f>
        <v>20</v>
      </c>
      <c r="N6" s="1" t="str">
        <f t="shared" ref="N6:N15" si="4">IF(F6="","",")")</f>
        <v>)</v>
      </c>
      <c r="O6" s="1" t="str">
        <f>IF(G6="N","NOT NULL","NULL")</f>
        <v>NOT NULL</v>
      </c>
      <c r="P6" s="1" t="str">
        <f>IF(H6&lt;&gt;"","DEFAULT "&amp;H6,"")</f>
        <v/>
      </c>
      <c r="Q6" s="1" t="s">
        <v>113</v>
      </c>
      <c r="S6" s="1" t="str">
        <f>"COMMENT ON COLUMN " &amp; C3 &amp; "." &amp; C6 &amp; " IS '" &amp; B6 &amp; "'"</f>
        <v>COMMENT ON COLUMN MENU_INFO.MENU_ID IS '메뉴ID'</v>
      </c>
    </row>
    <row r="7" spans="1:19" x14ac:dyDescent="0.3">
      <c r="A7" s="2"/>
      <c r="B7" s="2" t="s">
        <v>89</v>
      </c>
      <c r="C7" s="2" t="s">
        <v>156</v>
      </c>
      <c r="D7" s="2" t="s">
        <v>89</v>
      </c>
      <c r="E7" s="2" t="s">
        <v>618</v>
      </c>
      <c r="F7" s="2">
        <v>50</v>
      </c>
      <c r="G7" s="2" t="s">
        <v>90</v>
      </c>
      <c r="H7" s="12"/>
      <c r="I7" s="1"/>
      <c r="J7" s="1" t="str">
        <f t="shared" si="0"/>
        <v>MENU_NAME</v>
      </c>
      <c r="K7" s="1" t="str">
        <f t="shared" si="1"/>
        <v>NVARCHAR2</v>
      </c>
      <c r="L7" s="1" t="str">
        <f t="shared" si="2"/>
        <v>(</v>
      </c>
      <c r="M7" s="1">
        <f t="shared" si="3"/>
        <v>50</v>
      </c>
      <c r="N7" s="1" t="str">
        <f t="shared" si="4"/>
        <v>)</v>
      </c>
      <c r="O7" s="1" t="str">
        <f t="shared" ref="O7:O15" si="5">IF(G7="N","NOT NULL","NULL")</f>
        <v>NOT NULL</v>
      </c>
      <c r="P7" s="1" t="str">
        <f t="shared" ref="P7:P15" si="6">IF(H7&lt;&gt;"","DEFAULT "&amp;H7,"")</f>
        <v/>
      </c>
      <c r="Q7" s="1" t="s">
        <v>113</v>
      </c>
      <c r="R7" s="1"/>
      <c r="S7" s="1" t="str">
        <f>"COMMENT ON COLUMN " &amp; C3 &amp; "." &amp; C7 &amp; " IS '" &amp; B7 &amp; "'"</f>
        <v>COMMENT ON COLUMN MENU_INFO.MENU_NAME IS '메뉴명'</v>
      </c>
    </row>
    <row r="8" spans="1:19" x14ac:dyDescent="0.3">
      <c r="A8" s="2"/>
      <c r="B8" s="2" t="s">
        <v>145</v>
      </c>
      <c r="C8" s="2" t="s">
        <v>145</v>
      </c>
      <c r="D8" s="2" t="s">
        <v>145</v>
      </c>
      <c r="E8" s="2" t="s">
        <v>618</v>
      </c>
      <c r="F8" s="2">
        <v>50</v>
      </c>
      <c r="G8" s="2" t="s">
        <v>122</v>
      </c>
      <c r="H8" s="12"/>
      <c r="I8" s="1"/>
      <c r="J8" s="1" t="str">
        <f t="shared" si="0"/>
        <v>NAMESPACE</v>
      </c>
      <c r="K8" s="1" t="str">
        <f t="shared" si="1"/>
        <v>NVARCHAR2</v>
      </c>
      <c r="L8" s="1" t="str">
        <f t="shared" si="2"/>
        <v>(</v>
      </c>
      <c r="M8" s="1">
        <f t="shared" si="3"/>
        <v>50</v>
      </c>
      <c r="N8" s="1" t="str">
        <f t="shared" si="4"/>
        <v>)</v>
      </c>
      <c r="O8" s="1" t="str">
        <f t="shared" si="5"/>
        <v>NULL</v>
      </c>
      <c r="P8" s="1" t="str">
        <f t="shared" si="6"/>
        <v/>
      </c>
      <c r="Q8" s="1" t="s">
        <v>113</v>
      </c>
      <c r="R8" s="1"/>
      <c r="S8" s="1" t="str">
        <f>"COMMENT ON COLUMN " &amp; C3 &amp; "." &amp; C8 &amp; " IS '" &amp; B8 &amp; "'"</f>
        <v>COMMENT ON COLUMN MENU_INFO.NAMESPACE IS 'NAMESPACE'</v>
      </c>
    </row>
    <row r="9" spans="1:19" x14ac:dyDescent="0.3">
      <c r="A9" s="2"/>
      <c r="B9" s="2" t="s">
        <v>147</v>
      </c>
      <c r="C9" s="2" t="s">
        <v>147</v>
      </c>
      <c r="D9" s="2" t="s">
        <v>147</v>
      </c>
      <c r="E9" s="2" t="s">
        <v>618</v>
      </c>
      <c r="F9" s="2">
        <v>50</v>
      </c>
      <c r="G9" s="2" t="s">
        <v>122</v>
      </c>
      <c r="H9" s="12"/>
      <c r="I9" s="1"/>
      <c r="J9" s="1" t="str">
        <f t="shared" si="0"/>
        <v>CLASSNAME</v>
      </c>
      <c r="K9" s="1" t="str">
        <f t="shared" si="1"/>
        <v>NVARCHAR2</v>
      </c>
      <c r="L9" s="1" t="str">
        <f t="shared" si="2"/>
        <v>(</v>
      </c>
      <c r="M9" s="1">
        <f t="shared" si="3"/>
        <v>50</v>
      </c>
      <c r="N9" s="1" t="str">
        <f t="shared" si="4"/>
        <v>)</v>
      </c>
      <c r="O9" s="1" t="str">
        <f t="shared" si="5"/>
        <v>NULL</v>
      </c>
      <c r="P9" s="1" t="str">
        <f t="shared" si="6"/>
        <v/>
      </c>
      <c r="Q9" s="1" t="s">
        <v>113</v>
      </c>
      <c r="R9" s="1"/>
      <c r="S9" s="1" t="str">
        <f>"COMMENT ON COLUMN " &amp; C3 &amp; "." &amp; C9 &amp; " IS '" &amp; B9 &amp; "'"</f>
        <v>COMMENT ON COLUMN MENU_INFO.CLASSNAME IS 'CLASSNAME'</v>
      </c>
    </row>
    <row r="10" spans="1:19" x14ac:dyDescent="0.3">
      <c r="A10" s="2"/>
      <c r="B10" s="2" t="s">
        <v>138</v>
      </c>
      <c r="C10" s="2" t="s">
        <v>138</v>
      </c>
      <c r="D10" s="2" t="s">
        <v>138</v>
      </c>
      <c r="E10" s="2" t="s">
        <v>545</v>
      </c>
      <c r="F10" s="2"/>
      <c r="G10" s="2" t="s">
        <v>90</v>
      </c>
      <c r="H10" s="12"/>
      <c r="I10" s="1"/>
      <c r="J10" s="1" t="str">
        <f t="shared" si="0"/>
        <v>MENU_LEVEL</v>
      </c>
      <c r="K10" s="1" t="str">
        <f t="shared" si="1"/>
        <v>NUMBER</v>
      </c>
      <c r="L10" s="1" t="str">
        <f t="shared" si="2"/>
        <v/>
      </c>
      <c r="M10" s="1" t="str">
        <f t="shared" si="3"/>
        <v/>
      </c>
      <c r="N10" s="1" t="str">
        <f t="shared" si="4"/>
        <v/>
      </c>
      <c r="O10" s="1" t="str">
        <f t="shared" si="5"/>
        <v>NOT NULL</v>
      </c>
      <c r="P10" s="1" t="str">
        <f t="shared" si="6"/>
        <v/>
      </c>
      <c r="Q10" s="1" t="s">
        <v>113</v>
      </c>
      <c r="R10" s="1"/>
      <c r="S10" s="1" t="str">
        <f>"COMMENT ON COLUMN " &amp; C3 &amp; "." &amp; C10 &amp; " IS '" &amp; B10 &amp; "'"</f>
        <v>COMMENT ON COLUMN MENU_INFO.MENU_LEVEL IS 'MENU_LEVEL'</v>
      </c>
    </row>
    <row r="11" spans="1:19" x14ac:dyDescent="0.3">
      <c r="A11" s="2"/>
      <c r="B11" s="2" t="s">
        <v>218</v>
      </c>
      <c r="C11" s="2" t="s">
        <v>151</v>
      </c>
      <c r="D11" s="2" t="s">
        <v>218</v>
      </c>
      <c r="E11" s="2" t="s">
        <v>618</v>
      </c>
      <c r="F11" s="2">
        <v>20</v>
      </c>
      <c r="G11" s="2" t="s">
        <v>122</v>
      </c>
      <c r="H11" s="12"/>
      <c r="I11" s="1"/>
      <c r="J11" s="1" t="str">
        <f t="shared" si="0"/>
        <v>PARENT_MENU</v>
      </c>
      <c r="K11" s="1" t="str">
        <f t="shared" si="1"/>
        <v>NVARCHAR2</v>
      </c>
      <c r="L11" s="1" t="str">
        <f t="shared" si="2"/>
        <v>(</v>
      </c>
      <c r="M11" s="1">
        <f t="shared" si="3"/>
        <v>20</v>
      </c>
      <c r="N11" s="1" t="str">
        <f t="shared" si="4"/>
        <v>)</v>
      </c>
      <c r="O11" s="1" t="str">
        <f t="shared" si="5"/>
        <v>NULL</v>
      </c>
      <c r="P11" s="1" t="str">
        <f t="shared" si="6"/>
        <v/>
      </c>
      <c r="Q11" s="1" t="s">
        <v>113</v>
      </c>
      <c r="R11" s="1"/>
      <c r="S11" s="1" t="str">
        <f>"COMMENT ON COLUMN " &amp; C3 &amp; "." &amp; C11 &amp; " IS '" &amp; B11 &amp; "'"</f>
        <v>COMMENT ON COLUMN MENU_INFO.PARENT_MENU IS '부모 메뉴ID'</v>
      </c>
    </row>
    <row r="12" spans="1:19" x14ac:dyDescent="0.3">
      <c r="A12" s="2"/>
      <c r="B12" s="2" t="s">
        <v>111</v>
      </c>
      <c r="C12" s="2" t="s">
        <v>790</v>
      </c>
      <c r="D12" s="2" t="s">
        <v>188</v>
      </c>
      <c r="E12" s="2" t="s">
        <v>618</v>
      </c>
      <c r="F12" s="2">
        <v>20</v>
      </c>
      <c r="G12" s="2" t="s">
        <v>90</v>
      </c>
      <c r="H12" s="15"/>
      <c r="I12" s="1"/>
      <c r="J12" s="1" t="str">
        <f>""&amp;C12&amp;""</f>
        <v>INITBY</v>
      </c>
      <c r="K12" s="1" t="str">
        <f>""&amp;E12&amp;""</f>
        <v>NVARCHAR2</v>
      </c>
      <c r="L12" s="1" t="str">
        <f t="shared" si="2"/>
        <v>(</v>
      </c>
      <c r="M12" s="1">
        <f t="shared" si="3"/>
        <v>20</v>
      </c>
      <c r="N12" s="1" t="str">
        <f t="shared" si="4"/>
        <v>)</v>
      </c>
      <c r="O12" s="1" t="str">
        <f t="shared" si="5"/>
        <v>NOT NULL</v>
      </c>
      <c r="P12" s="1" t="str">
        <f t="shared" si="6"/>
        <v/>
      </c>
      <c r="Q12" s="1" t="s">
        <v>113</v>
      </c>
      <c r="R12" s="1"/>
      <c r="S12" s="1" t="str">
        <f>"COMMENT ON COLUMN " &amp; C3 &amp; "." &amp; C12 &amp; " IS '" &amp; B12 &amp; "'"</f>
        <v>COMMENT ON COLUMN MENU_INFO.INITBY IS '입력자'</v>
      </c>
    </row>
    <row r="13" spans="1:19" x14ac:dyDescent="0.3">
      <c r="A13" s="2"/>
      <c r="B13" s="2" t="s">
        <v>254</v>
      </c>
      <c r="C13" s="2" t="s">
        <v>791</v>
      </c>
      <c r="D13" s="2" t="s">
        <v>254</v>
      </c>
      <c r="E13" s="2" t="s">
        <v>228</v>
      </c>
      <c r="F13" s="2"/>
      <c r="G13" s="2" t="s">
        <v>90</v>
      </c>
      <c r="H13" s="12" t="s">
        <v>570</v>
      </c>
      <c r="I13" s="1"/>
      <c r="J13" s="1" t="str">
        <f>""&amp;C13&amp;""</f>
        <v>INITDTTM</v>
      </c>
      <c r="K13" s="1" t="str">
        <f>""&amp;E13&amp;""</f>
        <v>DATE</v>
      </c>
      <c r="L13" s="1" t="str">
        <f t="shared" si="2"/>
        <v/>
      </c>
      <c r="M13" s="1" t="str">
        <f t="shared" si="3"/>
        <v/>
      </c>
      <c r="N13" s="1" t="str">
        <f t="shared" si="4"/>
        <v/>
      </c>
      <c r="O13" s="1" t="str">
        <f t="shared" si="5"/>
        <v>NOT NULL</v>
      </c>
      <c r="P13" s="1" t="str">
        <f t="shared" si="6"/>
        <v>DEFAULT SYSDATE</v>
      </c>
      <c r="Q13" s="1" t="s">
        <v>113</v>
      </c>
      <c r="R13" s="1"/>
      <c r="S13" s="1" t="str">
        <f>"COMMENT ON COLUMN " &amp; C3 &amp; "." &amp; C13 &amp; " IS '" &amp; B13 &amp; "'"</f>
        <v>COMMENT ON COLUMN MENU_INFO.INITDTTM IS '입력일시'</v>
      </c>
    </row>
    <row r="14" spans="1:19" x14ac:dyDescent="0.3">
      <c r="A14" s="2"/>
      <c r="B14" s="2" t="s">
        <v>99</v>
      </c>
      <c r="C14" s="2" t="s">
        <v>793</v>
      </c>
      <c r="D14" s="2" t="s">
        <v>197</v>
      </c>
      <c r="E14" s="2" t="s">
        <v>618</v>
      </c>
      <c r="F14" s="2">
        <v>20</v>
      </c>
      <c r="G14" s="2" t="s">
        <v>122</v>
      </c>
      <c r="H14" s="15"/>
      <c r="I14" s="1"/>
      <c r="J14" s="1" t="str">
        <f>""&amp;C14&amp;""</f>
        <v>UPBY</v>
      </c>
      <c r="K14" s="1" t="str">
        <f>""&amp;E14&amp;""</f>
        <v>NVARCHAR2</v>
      </c>
      <c r="L14" s="1" t="str">
        <f t="shared" si="2"/>
        <v>(</v>
      </c>
      <c r="M14" s="1">
        <f t="shared" si="3"/>
        <v>20</v>
      </c>
      <c r="N14" s="1" t="str">
        <f t="shared" si="4"/>
        <v>)</v>
      </c>
      <c r="O14" s="1" t="str">
        <f t="shared" si="5"/>
        <v>NULL</v>
      </c>
      <c r="P14" s="1" t="str">
        <f t="shared" si="6"/>
        <v/>
      </c>
      <c r="Q14" s="1" t="s">
        <v>113</v>
      </c>
      <c r="R14" s="1"/>
      <c r="S14" s="1" t="str">
        <f>"COMMENT ON COLUMN " &amp; C3 &amp; "." &amp; C14 &amp; " IS '" &amp; B14 &amp; "'"</f>
        <v>COMMENT ON COLUMN MENU_INFO.UPBY IS '수정자'</v>
      </c>
    </row>
    <row r="15" spans="1:19" x14ac:dyDescent="0.3">
      <c r="A15" s="2"/>
      <c r="B15" s="2" t="s">
        <v>259</v>
      </c>
      <c r="C15" s="2" t="s">
        <v>792</v>
      </c>
      <c r="D15" s="2" t="s">
        <v>259</v>
      </c>
      <c r="E15" s="2" t="s">
        <v>228</v>
      </c>
      <c r="F15" s="2"/>
      <c r="G15" s="2" t="s">
        <v>122</v>
      </c>
      <c r="H15" s="12"/>
      <c r="I15" s="1"/>
      <c r="J15" s="1" t="str">
        <f>""&amp;C15&amp;""</f>
        <v>UPDTTM</v>
      </c>
      <c r="K15" s="1" t="str">
        <f>""&amp;E15&amp;""</f>
        <v>DATE</v>
      </c>
      <c r="L15" s="1" t="str">
        <f t="shared" si="2"/>
        <v/>
      </c>
      <c r="M15" s="1" t="str">
        <f t="shared" si="3"/>
        <v/>
      </c>
      <c r="N15" s="1" t="str">
        <f t="shared" si="4"/>
        <v/>
      </c>
      <c r="O15" s="1" t="str">
        <f t="shared" si="5"/>
        <v>NULL</v>
      </c>
      <c r="P15" s="1" t="str">
        <f t="shared" si="6"/>
        <v/>
      </c>
      <c r="Q15" s="21" t="s">
        <v>723</v>
      </c>
      <c r="R15" s="1"/>
      <c r="S15" s="1" t="str">
        <f>"COMMENT ON COLUMN " &amp; C3 &amp; "." &amp; C15 &amp; " IS '" &amp; B15 &amp; "'"</f>
        <v>COMMENT ON COLUMN MENU_INFO.UPDTTM IS '수정일시'</v>
      </c>
    </row>
    <row r="16" spans="1:19" x14ac:dyDescent="0.3">
      <c r="J16" s="13" t="str">
        <f>"ALTER TABLE "&amp;C3&amp;""</f>
        <v>ALTER TABLE MENU_INFO</v>
      </c>
    </row>
    <row r="17" spans="10:10" x14ac:dyDescent="0.3">
      <c r="J17" s="13" t="str" cm="1">
        <f t="array" ref="J17">"ADD CONSTRAINT PK_"&amp;C3&amp;" PRIMARY KEY (" &amp; _xlfn.TEXTJOIN(", ", TRUE, _xlfn._xlws.FILTER(C6:C60, A6:A60="Y")) &amp; ")"</f>
        <v>ADD CONSTRAINT PK_MENU_INFO PRIMARY KEY (MENU_ID)</v>
      </c>
    </row>
  </sheetData>
  <phoneticPr fontId="7" type="noConversion"/>
  <hyperlinks>
    <hyperlink ref="A1" location="리스트!A1" display="리스트로 이동" xr:uid="{D59B89DB-9F38-4313-A130-F51967642FB8}"/>
  </hyperlinks>
  <pageMargins left="0.74805557727813721" right="0.74805557727813721" top="0.98430556058883667" bottom="0.98430556058883667" header="0.51166665554046631" footer="0.51166665554046631"/>
  <pageSetup paperSize="9" fitToWidth="0" fitToHeight="0" orientation="portrait" horizontalDpi="0" verticalDpi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CD809-2AB2-4BD9-A33C-5ED3DBE95912}">
  <dimension ref="A1:S19"/>
  <sheetViews>
    <sheetView zoomScaleNormal="100" zoomScaleSheetLayoutView="100" workbookViewId="0">
      <selection activeCell="J3" sqref="J3:Q3"/>
    </sheetView>
  </sheetViews>
  <sheetFormatPr defaultColWidth="9" defaultRowHeight="16.5" x14ac:dyDescent="0.3"/>
  <cols>
    <col min="1" max="1" width="8.625" bestFit="1" customWidth="1"/>
    <col min="2" max="2" width="13.75" bestFit="1" customWidth="1"/>
    <col min="3" max="3" width="14.125" bestFit="1" customWidth="1"/>
    <col min="4" max="4" width="19.375" bestFit="1" customWidth="1"/>
    <col min="5" max="5" width="12.75" bestFit="1" customWidth="1"/>
    <col min="6" max="6" width="6.75" bestFit="1" customWidth="1"/>
    <col min="7" max="7" width="9" bestFit="1" customWidth="1"/>
    <col min="8" max="8" width="9" customWidth="1"/>
    <col min="10" max="11" width="16.875" customWidth="1"/>
    <col min="12" max="12" width="1.625" bestFit="1" customWidth="1"/>
    <col min="13" max="13" width="3.75" customWidth="1"/>
    <col min="14" max="14" width="1.625" bestFit="1" customWidth="1"/>
    <col min="15" max="15" width="10.125" bestFit="1" customWidth="1"/>
    <col min="16" max="16" width="18.375" bestFit="1" customWidth="1"/>
    <col min="17" max="17" width="10.125" bestFit="1" customWidth="1"/>
    <col min="18" max="18" width="16.875" customWidth="1"/>
  </cols>
  <sheetData>
    <row r="1" spans="1:19" x14ac:dyDescent="0.3">
      <c r="A1" s="16" t="s">
        <v>615</v>
      </c>
    </row>
    <row r="2" spans="1:19" x14ac:dyDescent="0.3">
      <c r="A2" s="2"/>
      <c r="B2" s="2" t="s">
        <v>116</v>
      </c>
      <c r="C2" s="2" t="s">
        <v>119</v>
      </c>
      <c r="D2" s="2" t="s">
        <v>112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3">
      <c r="A3" s="2"/>
      <c r="B3" s="2" t="s">
        <v>206</v>
      </c>
      <c r="C3" s="2" t="s">
        <v>159</v>
      </c>
      <c r="D3" s="2"/>
      <c r="E3" s="1"/>
      <c r="F3" s="1"/>
      <c r="G3" s="1"/>
      <c r="H3" s="1"/>
      <c r="I3" s="1"/>
      <c r="J3" s="13" t="str">
        <f>"DROP TABLE "&amp;C3&amp;" CASCADE CONSTRAINTS PURGE"</f>
        <v>DROP TABLE MENU_AUTH CASCADE CONSTRAINTS PURGE</v>
      </c>
      <c r="K3" s="1"/>
      <c r="L3" s="1"/>
      <c r="M3" s="1"/>
      <c r="N3" s="1"/>
      <c r="O3" s="1"/>
      <c r="P3" s="21"/>
      <c r="Q3" s="21" t="s">
        <v>771</v>
      </c>
      <c r="R3" s="1"/>
      <c r="S3" s="1"/>
    </row>
    <row r="4" spans="1:19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3">
      <c r="A5" s="2" t="s">
        <v>88</v>
      </c>
      <c r="B5" s="2" t="s">
        <v>215</v>
      </c>
      <c r="C5" s="2" t="s">
        <v>252</v>
      </c>
      <c r="D5" s="2" t="s">
        <v>177</v>
      </c>
      <c r="E5" s="2" t="s">
        <v>265</v>
      </c>
      <c r="F5" s="2" t="s">
        <v>101</v>
      </c>
      <c r="G5" s="2" t="s">
        <v>205</v>
      </c>
      <c r="H5" s="12" t="s">
        <v>569</v>
      </c>
      <c r="I5" s="1"/>
      <c r="J5" s="1" t="str">
        <f>"CREATE TABLE "&amp;C3&amp;" ("</f>
        <v>CREATE TABLE MENU_AUTH (</v>
      </c>
      <c r="K5" s="1"/>
      <c r="L5" s="1"/>
      <c r="M5" s="1"/>
      <c r="N5" s="1"/>
      <c r="O5" s="1"/>
      <c r="P5" s="1"/>
      <c r="Q5" s="1"/>
      <c r="R5" s="1"/>
      <c r="S5" s="1" t="str">
        <f>"COMMENT ON TABLE " &amp; C3 &amp; " IS '" &amp; SUBSTITUTE(B3,"'","''") &amp; "'"</f>
        <v>COMMENT ON TABLE MENU_AUTH IS '사용자메뉴권한'</v>
      </c>
    </row>
    <row r="6" spans="1:19" x14ac:dyDescent="0.3">
      <c r="A6" s="2" t="s">
        <v>122</v>
      </c>
      <c r="B6" s="2" t="s">
        <v>20</v>
      </c>
      <c r="C6" s="2" t="s">
        <v>528</v>
      </c>
      <c r="D6" s="2" t="s">
        <v>293</v>
      </c>
      <c r="E6" s="2" t="s">
        <v>618</v>
      </c>
      <c r="F6" s="2">
        <v>10</v>
      </c>
      <c r="G6" s="2" t="s">
        <v>90</v>
      </c>
      <c r="H6" s="12"/>
      <c r="I6" s="1"/>
      <c r="J6" s="1" t="str">
        <f t="shared" ref="J6:J13" si="0">""&amp;C6&amp;""</f>
        <v>PLANT_CODE</v>
      </c>
      <c r="K6" s="1" t="str">
        <f t="shared" ref="K6:K13" si="1">""&amp;E6&amp;""</f>
        <v>NVARCHAR2</v>
      </c>
      <c r="L6" s="1" t="str">
        <f t="shared" ref="L6:L17" si="2">IF(F6="","","(")</f>
        <v>(</v>
      </c>
      <c r="M6" s="1">
        <f t="shared" ref="M6:M17" si="3">IF(F6="","",F6)</f>
        <v>10</v>
      </c>
      <c r="N6" s="1" t="str">
        <f t="shared" ref="N6:N17" si="4">IF(F6="","",")")</f>
        <v>)</v>
      </c>
      <c r="O6" s="1" t="str">
        <f>IF(G6="N","NOT NULL","NULL")</f>
        <v>NOT NULL</v>
      </c>
      <c r="P6" s="1" t="str">
        <f>IF(H6&lt;&gt;"","DEFAULT "&amp;H6,"")</f>
        <v/>
      </c>
      <c r="Q6" s="1" t="s">
        <v>113</v>
      </c>
      <c r="S6" s="1" t="str">
        <f>"COMMENT ON COLUMN " &amp; C3 &amp; "." &amp; C6 &amp; " IS '" &amp; B6 &amp; "'"</f>
        <v>COMMENT ON COLUMN MENU_AUTH.PLANT_CODE IS '고객사'</v>
      </c>
    </row>
    <row r="7" spans="1:19" x14ac:dyDescent="0.3">
      <c r="A7" s="2" t="s">
        <v>122</v>
      </c>
      <c r="B7" s="2" t="s">
        <v>201</v>
      </c>
      <c r="C7" s="2" t="s">
        <v>160</v>
      </c>
      <c r="D7" s="2" t="s">
        <v>201</v>
      </c>
      <c r="E7" s="2" t="s">
        <v>618</v>
      </c>
      <c r="F7" s="2">
        <v>20</v>
      </c>
      <c r="G7" s="2" t="s">
        <v>90</v>
      </c>
      <c r="H7" s="12"/>
      <c r="I7" s="1"/>
      <c r="J7" s="1" t="str">
        <f t="shared" si="0"/>
        <v>AUTH_TYPE</v>
      </c>
      <c r="K7" s="1" t="str">
        <f t="shared" si="1"/>
        <v>NVARCHAR2</v>
      </c>
      <c r="L7" s="1" t="str">
        <f t="shared" si="2"/>
        <v>(</v>
      </c>
      <c r="M7" s="1">
        <f t="shared" si="3"/>
        <v>20</v>
      </c>
      <c r="N7" s="1" t="str">
        <f t="shared" si="4"/>
        <v>)</v>
      </c>
      <c r="O7" s="1" t="str">
        <f t="shared" ref="O7:O17" si="5">IF(G7="N","NOT NULL","NULL")</f>
        <v>NOT NULL</v>
      </c>
      <c r="P7" s="1" t="str">
        <f t="shared" ref="P7:P17" si="6">IF(H7&lt;&gt;"","DEFAULT "&amp;H7,"")</f>
        <v/>
      </c>
      <c r="Q7" s="1" t="s">
        <v>113</v>
      </c>
      <c r="R7" s="1"/>
      <c r="S7" s="1" t="str">
        <f>"COMMENT ON COLUMN " &amp; C3 &amp; "." &amp; C7 &amp; " IS '" &amp; B7 &amp; "'"</f>
        <v>COMMENT ON COLUMN MENU_AUTH.AUTH_TYPE IS '권한타입'</v>
      </c>
    </row>
    <row r="8" spans="1:19" x14ac:dyDescent="0.3">
      <c r="A8" s="2" t="s">
        <v>122</v>
      </c>
      <c r="B8" s="2" t="s">
        <v>243</v>
      </c>
      <c r="C8" s="2" t="s">
        <v>236</v>
      </c>
      <c r="D8" s="2" t="s">
        <v>243</v>
      </c>
      <c r="E8" s="2" t="s">
        <v>618</v>
      </c>
      <c r="F8" s="2">
        <v>50</v>
      </c>
      <c r="G8" s="2" t="s">
        <v>90</v>
      </c>
      <c r="H8" s="12"/>
      <c r="I8" s="1"/>
      <c r="J8" s="1" t="str">
        <f t="shared" si="0"/>
        <v>MENU_ID</v>
      </c>
      <c r="K8" s="1" t="str">
        <f t="shared" si="1"/>
        <v>NVARCHAR2</v>
      </c>
      <c r="L8" s="1" t="str">
        <f t="shared" si="2"/>
        <v>(</v>
      </c>
      <c r="M8" s="1">
        <f t="shared" si="3"/>
        <v>50</v>
      </c>
      <c r="N8" s="1" t="str">
        <f t="shared" si="4"/>
        <v>)</v>
      </c>
      <c r="O8" s="1" t="str">
        <f t="shared" si="5"/>
        <v>NOT NULL</v>
      </c>
      <c r="P8" s="1" t="str">
        <f t="shared" si="6"/>
        <v/>
      </c>
      <c r="Q8" s="1" t="s">
        <v>113</v>
      </c>
      <c r="R8" s="1"/>
      <c r="S8" s="1" t="str">
        <f>"COMMENT ON COLUMN " &amp; C3 &amp; "." &amp; C8 &amp; " IS '" &amp; B8 &amp; "'"</f>
        <v>COMMENT ON COLUMN MENU_AUTH.MENU_ID IS '메뉴아이디'</v>
      </c>
    </row>
    <row r="9" spans="1:19" x14ac:dyDescent="0.3">
      <c r="A9" s="2"/>
      <c r="B9" s="2" t="s">
        <v>80</v>
      </c>
      <c r="C9" s="2" t="s">
        <v>103</v>
      </c>
      <c r="D9" s="2" t="s">
        <v>80</v>
      </c>
      <c r="E9" s="2" t="s">
        <v>249</v>
      </c>
      <c r="F9" s="2">
        <v>1</v>
      </c>
      <c r="G9" s="2" t="s">
        <v>122</v>
      </c>
      <c r="H9" s="12"/>
      <c r="I9" s="1"/>
      <c r="J9" s="1" t="str">
        <f t="shared" si="0"/>
        <v>C</v>
      </c>
      <c r="K9" s="1" t="str">
        <f t="shared" si="1"/>
        <v>CHAR</v>
      </c>
      <c r="L9" s="1" t="str">
        <f t="shared" si="2"/>
        <v>(</v>
      </c>
      <c r="M9" s="1">
        <f t="shared" si="3"/>
        <v>1</v>
      </c>
      <c r="N9" s="1" t="str">
        <f t="shared" si="4"/>
        <v>)</v>
      </c>
      <c r="O9" s="1" t="str">
        <f t="shared" si="5"/>
        <v>NULL</v>
      </c>
      <c r="P9" s="1" t="str">
        <f t="shared" si="6"/>
        <v/>
      </c>
      <c r="Q9" s="1" t="s">
        <v>113</v>
      </c>
      <c r="R9" s="1"/>
      <c r="S9" s="1" t="str">
        <f>"COMMENT ON COLUMN " &amp; C3 &amp; "." &amp; C9 &amp; " IS '" &amp; B9 &amp; "'"</f>
        <v>COMMENT ON COLUMN MENU_AUTH.C IS '생성'</v>
      </c>
    </row>
    <row r="10" spans="1:19" x14ac:dyDescent="0.3">
      <c r="A10" s="2"/>
      <c r="B10" s="2" t="s">
        <v>83</v>
      </c>
      <c r="C10" s="2" t="s">
        <v>110</v>
      </c>
      <c r="D10" s="2" t="s">
        <v>83</v>
      </c>
      <c r="E10" s="2" t="s">
        <v>249</v>
      </c>
      <c r="F10" s="2">
        <v>1</v>
      </c>
      <c r="G10" s="2" t="s">
        <v>122</v>
      </c>
      <c r="H10" s="12"/>
      <c r="I10" s="1"/>
      <c r="J10" s="1" t="str">
        <f t="shared" si="0"/>
        <v>R</v>
      </c>
      <c r="K10" s="1" t="str">
        <f t="shared" si="1"/>
        <v>CHAR</v>
      </c>
      <c r="L10" s="1" t="str">
        <f t="shared" si="2"/>
        <v>(</v>
      </c>
      <c r="M10" s="1">
        <f t="shared" si="3"/>
        <v>1</v>
      </c>
      <c r="N10" s="1" t="str">
        <f t="shared" si="4"/>
        <v>)</v>
      </c>
      <c r="O10" s="1" t="str">
        <f t="shared" si="5"/>
        <v>NULL</v>
      </c>
      <c r="P10" s="1" t="str">
        <f t="shared" si="6"/>
        <v/>
      </c>
      <c r="Q10" s="1" t="s">
        <v>113</v>
      </c>
      <c r="R10" s="1"/>
      <c r="S10" s="1" t="str">
        <f>"COMMENT ON COLUMN " &amp; C3 &amp; "." &amp; C10 &amp; " IS '" &amp; B10 &amp; "'"</f>
        <v>COMMENT ON COLUMN MENU_AUTH.R IS '읽기'</v>
      </c>
    </row>
    <row r="11" spans="1:19" x14ac:dyDescent="0.3">
      <c r="A11" s="2"/>
      <c r="B11" s="2" t="s">
        <v>108</v>
      </c>
      <c r="C11" s="2" t="s">
        <v>94</v>
      </c>
      <c r="D11" s="2" t="s">
        <v>108</v>
      </c>
      <c r="E11" s="2" t="s">
        <v>249</v>
      </c>
      <c r="F11" s="2">
        <v>1</v>
      </c>
      <c r="G11" s="2" t="s">
        <v>122</v>
      </c>
      <c r="H11" s="12"/>
      <c r="I11" s="1"/>
      <c r="J11" s="1" t="str">
        <f t="shared" si="0"/>
        <v>U</v>
      </c>
      <c r="K11" s="1" t="str">
        <f t="shared" si="1"/>
        <v>CHAR</v>
      </c>
      <c r="L11" s="1" t="str">
        <f t="shared" si="2"/>
        <v>(</v>
      </c>
      <c r="M11" s="1">
        <f t="shared" si="3"/>
        <v>1</v>
      </c>
      <c r="N11" s="1" t="str">
        <f t="shared" si="4"/>
        <v>)</v>
      </c>
      <c r="O11" s="1" t="str">
        <f t="shared" si="5"/>
        <v>NULL</v>
      </c>
      <c r="P11" s="1" t="str">
        <f t="shared" si="6"/>
        <v/>
      </c>
      <c r="Q11" s="1" t="s">
        <v>113</v>
      </c>
      <c r="R11" s="1"/>
      <c r="S11" s="1" t="str">
        <f>"COMMENT ON COLUMN " &amp; C3 &amp; "." &amp; C11 &amp; " IS '" &amp; B11 &amp; "'"</f>
        <v>COMMENT ON COLUMN MENU_AUTH.U IS '수정'</v>
      </c>
    </row>
    <row r="12" spans="1:19" x14ac:dyDescent="0.3">
      <c r="A12" s="2"/>
      <c r="B12" s="2" t="s">
        <v>126</v>
      </c>
      <c r="C12" s="2" t="s">
        <v>124</v>
      </c>
      <c r="D12" s="2" t="s">
        <v>126</v>
      </c>
      <c r="E12" s="2" t="s">
        <v>249</v>
      </c>
      <c r="F12" s="2">
        <v>1</v>
      </c>
      <c r="G12" s="2" t="s">
        <v>122</v>
      </c>
      <c r="H12" s="12"/>
      <c r="I12" s="1"/>
      <c r="J12" s="1" t="str">
        <f t="shared" si="0"/>
        <v>D</v>
      </c>
      <c r="K12" s="1" t="str">
        <f t="shared" si="1"/>
        <v>CHAR</v>
      </c>
      <c r="L12" s="1" t="str">
        <f t="shared" si="2"/>
        <v>(</v>
      </c>
      <c r="M12" s="1">
        <f t="shared" si="3"/>
        <v>1</v>
      </c>
      <c r="N12" s="1" t="str">
        <f t="shared" si="4"/>
        <v>)</v>
      </c>
      <c r="O12" s="1" t="str">
        <f t="shared" si="5"/>
        <v>NULL</v>
      </c>
      <c r="P12" s="1" t="str">
        <f t="shared" si="6"/>
        <v/>
      </c>
      <c r="Q12" s="1" t="s">
        <v>113</v>
      </c>
      <c r="R12" s="1"/>
      <c r="S12" s="1" t="str">
        <f>"COMMENT ON COLUMN " &amp; C3 &amp; "." &amp; C12 &amp; " IS '" &amp; B12 &amp; "'"</f>
        <v>COMMENT ON COLUMN MENU_AUTH.D IS '삭제'</v>
      </c>
    </row>
    <row r="13" spans="1:19" x14ac:dyDescent="0.3">
      <c r="A13" s="2"/>
      <c r="B13" s="2" t="s">
        <v>125</v>
      </c>
      <c r="C13" s="2" t="s">
        <v>123</v>
      </c>
      <c r="D13" s="2" t="s">
        <v>125</v>
      </c>
      <c r="E13" s="2" t="s">
        <v>249</v>
      </c>
      <c r="F13" s="2">
        <v>1</v>
      </c>
      <c r="G13" s="2" t="s">
        <v>122</v>
      </c>
      <c r="H13" s="12"/>
      <c r="I13" s="1"/>
      <c r="J13" s="1" t="str">
        <f t="shared" si="0"/>
        <v>P</v>
      </c>
      <c r="K13" s="1" t="str">
        <f t="shared" si="1"/>
        <v>CHAR</v>
      </c>
      <c r="L13" s="1" t="str">
        <f t="shared" si="2"/>
        <v>(</v>
      </c>
      <c r="M13" s="1">
        <f t="shared" si="3"/>
        <v>1</v>
      </c>
      <c r="N13" s="1" t="str">
        <f t="shared" si="4"/>
        <v>)</v>
      </c>
      <c r="O13" s="1" t="str">
        <f t="shared" si="5"/>
        <v>NULL</v>
      </c>
      <c r="P13" s="1" t="str">
        <f t="shared" si="6"/>
        <v/>
      </c>
      <c r="Q13" s="1" t="s">
        <v>113</v>
      </c>
      <c r="R13" s="1"/>
      <c r="S13" s="1" t="str">
        <f>"COMMENT ON COLUMN " &amp; C3 &amp; "." &amp; C13 &amp; " IS '" &amp; B13 &amp; "'"</f>
        <v>COMMENT ON COLUMN MENU_AUTH.P IS '프린트'</v>
      </c>
    </row>
    <row r="14" spans="1:19" x14ac:dyDescent="0.3">
      <c r="A14" s="2"/>
      <c r="B14" s="2" t="s">
        <v>111</v>
      </c>
      <c r="C14" s="2" t="s">
        <v>790</v>
      </c>
      <c r="D14" s="2" t="s">
        <v>188</v>
      </c>
      <c r="E14" s="2" t="s">
        <v>618</v>
      </c>
      <c r="F14" s="2">
        <v>20</v>
      </c>
      <c r="G14" s="2" t="s">
        <v>90</v>
      </c>
      <c r="H14" s="15"/>
      <c r="I14" s="1"/>
      <c r="J14" s="1" t="str">
        <f>""&amp;C14&amp;""</f>
        <v>INITBY</v>
      </c>
      <c r="K14" s="1" t="str">
        <f>""&amp;E14&amp;""</f>
        <v>NVARCHAR2</v>
      </c>
      <c r="L14" s="1" t="str">
        <f t="shared" si="2"/>
        <v>(</v>
      </c>
      <c r="M14" s="1">
        <f t="shared" si="3"/>
        <v>20</v>
      </c>
      <c r="N14" s="1" t="str">
        <f t="shared" si="4"/>
        <v>)</v>
      </c>
      <c r="O14" s="1" t="str">
        <f t="shared" si="5"/>
        <v>NOT NULL</v>
      </c>
      <c r="P14" s="1" t="str">
        <f t="shared" si="6"/>
        <v/>
      </c>
      <c r="Q14" s="1" t="s">
        <v>113</v>
      </c>
      <c r="R14" s="1"/>
      <c r="S14" s="1" t="str">
        <f>"COMMENT ON COLUMN " &amp; C3 &amp; "." &amp; C14 &amp; " IS '" &amp; B14 &amp; "'"</f>
        <v>COMMENT ON COLUMN MENU_AUTH.INITBY IS '입력자'</v>
      </c>
    </row>
    <row r="15" spans="1:19" x14ac:dyDescent="0.3">
      <c r="A15" s="2"/>
      <c r="B15" s="2" t="s">
        <v>254</v>
      </c>
      <c r="C15" s="2" t="s">
        <v>791</v>
      </c>
      <c r="D15" s="2" t="s">
        <v>254</v>
      </c>
      <c r="E15" s="2" t="s">
        <v>228</v>
      </c>
      <c r="F15" s="2"/>
      <c r="G15" s="2" t="s">
        <v>90</v>
      </c>
      <c r="H15" s="12" t="s">
        <v>570</v>
      </c>
      <c r="I15" s="1"/>
      <c r="J15" s="1" t="str">
        <f>""&amp;C15&amp;""</f>
        <v>INITDTTM</v>
      </c>
      <c r="K15" s="1" t="str">
        <f>""&amp;E15&amp;""</f>
        <v>DATE</v>
      </c>
      <c r="L15" s="1" t="str">
        <f t="shared" si="2"/>
        <v/>
      </c>
      <c r="M15" s="1" t="str">
        <f t="shared" si="3"/>
        <v/>
      </c>
      <c r="N15" s="1" t="str">
        <f t="shared" si="4"/>
        <v/>
      </c>
      <c r="O15" s="1" t="str">
        <f t="shared" si="5"/>
        <v>NOT NULL</v>
      </c>
      <c r="P15" s="1" t="str">
        <f t="shared" si="6"/>
        <v>DEFAULT SYSDATE</v>
      </c>
      <c r="Q15" s="1" t="s">
        <v>113</v>
      </c>
      <c r="R15" s="1"/>
      <c r="S15" s="1" t="str">
        <f>"COMMENT ON COLUMN " &amp; C3 &amp; "." &amp; C15 &amp; " IS '" &amp; B15 &amp; "'"</f>
        <v>COMMENT ON COLUMN MENU_AUTH.INITDTTM IS '입력일시'</v>
      </c>
    </row>
    <row r="16" spans="1:19" x14ac:dyDescent="0.3">
      <c r="A16" s="2"/>
      <c r="B16" s="2" t="s">
        <v>99</v>
      </c>
      <c r="C16" s="2" t="s">
        <v>793</v>
      </c>
      <c r="D16" s="2" t="s">
        <v>197</v>
      </c>
      <c r="E16" s="2" t="s">
        <v>618</v>
      </c>
      <c r="F16" s="2">
        <v>20</v>
      </c>
      <c r="G16" s="2" t="s">
        <v>122</v>
      </c>
      <c r="H16" s="15"/>
      <c r="I16" s="1"/>
      <c r="J16" s="1" t="str">
        <f>""&amp;C16&amp;""</f>
        <v>UPBY</v>
      </c>
      <c r="K16" s="1" t="str">
        <f>""&amp;E16&amp;""</f>
        <v>NVARCHAR2</v>
      </c>
      <c r="L16" s="1" t="str">
        <f t="shared" si="2"/>
        <v>(</v>
      </c>
      <c r="M16" s="1">
        <f t="shared" si="3"/>
        <v>20</v>
      </c>
      <c r="N16" s="1" t="str">
        <f t="shared" si="4"/>
        <v>)</v>
      </c>
      <c r="O16" s="1" t="str">
        <f t="shared" si="5"/>
        <v>NULL</v>
      </c>
      <c r="P16" s="1" t="str">
        <f t="shared" si="6"/>
        <v/>
      </c>
      <c r="Q16" s="1" t="s">
        <v>113</v>
      </c>
      <c r="R16" s="1"/>
      <c r="S16" s="1" t="str">
        <f>"COMMENT ON COLUMN " &amp; C3 &amp; "." &amp; C16 &amp; " IS '" &amp; B16 &amp; "'"</f>
        <v>COMMENT ON COLUMN MENU_AUTH.UPBY IS '수정자'</v>
      </c>
    </row>
    <row r="17" spans="1:19" x14ac:dyDescent="0.3">
      <c r="A17" s="2"/>
      <c r="B17" s="2" t="s">
        <v>259</v>
      </c>
      <c r="C17" s="2" t="s">
        <v>792</v>
      </c>
      <c r="D17" s="2" t="s">
        <v>259</v>
      </c>
      <c r="E17" s="2" t="s">
        <v>228</v>
      </c>
      <c r="F17" s="2"/>
      <c r="G17" s="2" t="s">
        <v>122</v>
      </c>
      <c r="H17" s="12"/>
      <c r="I17" s="1"/>
      <c r="J17" s="1" t="str">
        <f>""&amp;C17&amp;""</f>
        <v>UPDTTM</v>
      </c>
      <c r="K17" s="1" t="str">
        <f>""&amp;E17&amp;""</f>
        <v>DATE</v>
      </c>
      <c r="L17" s="1" t="str">
        <f t="shared" si="2"/>
        <v/>
      </c>
      <c r="M17" s="1" t="str">
        <f t="shared" si="3"/>
        <v/>
      </c>
      <c r="N17" s="1" t="str">
        <f t="shared" si="4"/>
        <v/>
      </c>
      <c r="O17" s="1" t="str">
        <f t="shared" si="5"/>
        <v>NULL</v>
      </c>
      <c r="P17" s="1" t="str">
        <f t="shared" si="6"/>
        <v/>
      </c>
      <c r="Q17" s="21" t="s">
        <v>723</v>
      </c>
      <c r="R17" s="1"/>
      <c r="S17" s="1" t="str">
        <f>"COMMENT ON COLUMN " &amp; C3 &amp; "." &amp; C17 &amp; " IS '" &amp; B17 &amp; "'"</f>
        <v>COMMENT ON COLUMN MENU_AUTH.UPDTTM IS '수정일시'</v>
      </c>
    </row>
    <row r="18" spans="1:19" x14ac:dyDescent="0.3">
      <c r="J18" s="13" t="str">
        <f>"ALTER TABLE "&amp;C3&amp;""</f>
        <v>ALTER TABLE MENU_AUTH</v>
      </c>
    </row>
    <row r="19" spans="1:19" x14ac:dyDescent="0.3">
      <c r="J19" s="13" t="str" cm="1">
        <f t="array" ref="J19">"ADD CONSTRAINT PK_"&amp;C3&amp;" PRIMARY KEY (" &amp; _xlfn.TEXTJOIN(", ", TRUE, _xlfn._xlws.FILTER(C6:C62, A6:A62="Y")) &amp; ")"</f>
        <v>ADD CONSTRAINT PK_MENU_AUTH PRIMARY KEY (PLANT_CODE, AUTH_TYPE, MENU_ID)</v>
      </c>
    </row>
  </sheetData>
  <phoneticPr fontId="7" type="noConversion"/>
  <hyperlinks>
    <hyperlink ref="A1" location="리스트!A1" display="리스트로 이동" xr:uid="{06CBF6A3-8F7C-49E7-968D-ACE82E9A902A}"/>
  </hyperlinks>
  <pageMargins left="0.74805557727813721" right="0.74805557727813721" top="0.98430556058883667" bottom="0.98430556058883667" header="0.51166665554046631" footer="0.51166665554046631"/>
  <pageSetup paperSize="9" fitToWidth="0" fitToHeight="0" orientation="portrait" horizontalDpi="0" verticalDpi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C6E6D3-FD4B-492E-BC4F-61063E687E60}">
  <dimension ref="A1:X24"/>
  <sheetViews>
    <sheetView zoomScaleNormal="100" zoomScaleSheetLayoutView="100" workbookViewId="0">
      <selection activeCell="I29" sqref="I29"/>
    </sheetView>
  </sheetViews>
  <sheetFormatPr defaultColWidth="9" defaultRowHeight="16.5" x14ac:dyDescent="0.3"/>
  <cols>
    <col min="1" max="1" width="8.625" bestFit="1" customWidth="1"/>
    <col min="2" max="2" width="13.75" bestFit="1" customWidth="1"/>
    <col min="3" max="3" width="18.375" bestFit="1" customWidth="1"/>
    <col min="4" max="4" width="19.375" bestFit="1" customWidth="1"/>
    <col min="5" max="5" width="12.75" bestFit="1" customWidth="1"/>
    <col min="6" max="6" width="6.75" bestFit="1" customWidth="1"/>
    <col min="7" max="7" width="9" bestFit="1" customWidth="1"/>
    <col min="8" max="8" width="9" customWidth="1"/>
    <col min="10" max="11" width="16.875" customWidth="1"/>
    <col min="12" max="12" width="1.625" bestFit="1" customWidth="1"/>
    <col min="13" max="13" width="3.75" customWidth="1"/>
    <col min="14" max="14" width="1.625" bestFit="1" customWidth="1"/>
    <col min="15" max="15" width="18.375" bestFit="1" customWidth="1"/>
    <col min="16" max="17" width="10.125" bestFit="1" customWidth="1"/>
    <col min="18" max="18" width="16.875" customWidth="1"/>
  </cols>
  <sheetData>
    <row r="1" spans="1:24" x14ac:dyDescent="0.3">
      <c r="A1" s="16" t="s">
        <v>615</v>
      </c>
    </row>
    <row r="2" spans="1:24" x14ac:dyDescent="0.3">
      <c r="A2" s="2"/>
      <c r="B2" s="2" t="s">
        <v>116</v>
      </c>
      <c r="C2" s="2" t="s">
        <v>119</v>
      </c>
      <c r="D2" s="2" t="s">
        <v>112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24" x14ac:dyDescent="0.3">
      <c r="A3" s="2"/>
      <c r="B3" s="12" t="s">
        <v>704</v>
      </c>
      <c r="C3" s="14" t="s">
        <v>626</v>
      </c>
      <c r="D3" s="2"/>
      <c r="E3" s="1"/>
      <c r="F3" s="1"/>
      <c r="G3" s="1"/>
      <c r="H3" s="1"/>
      <c r="I3" s="1"/>
      <c r="J3" s="13" t="str">
        <f>"DROP TABLE "&amp;C3&amp;" CASCADE CONSTRAINTS PURGE"</f>
        <v>DROP TABLE PRODUCT CASCADE CONSTRAINTS PURGE</v>
      </c>
      <c r="K3" s="1"/>
      <c r="L3" s="1"/>
      <c r="M3" s="1"/>
      <c r="N3" s="1"/>
      <c r="O3" s="1"/>
      <c r="P3" s="21"/>
      <c r="Q3" s="21" t="s">
        <v>771</v>
      </c>
      <c r="R3" s="1"/>
      <c r="S3" s="1"/>
    </row>
    <row r="4" spans="1:2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24" x14ac:dyDescent="0.3">
      <c r="A5" s="2" t="s">
        <v>88</v>
      </c>
      <c r="B5" s="2" t="s">
        <v>215</v>
      </c>
      <c r="C5" s="2" t="s">
        <v>252</v>
      </c>
      <c r="D5" s="2" t="s">
        <v>169</v>
      </c>
      <c r="E5" s="2" t="s">
        <v>265</v>
      </c>
      <c r="F5" s="2" t="s">
        <v>101</v>
      </c>
      <c r="G5" s="2" t="s">
        <v>205</v>
      </c>
      <c r="H5" s="12" t="s">
        <v>569</v>
      </c>
      <c r="I5" s="1"/>
      <c r="J5" s="1" t="str">
        <f>"CREATE TABLE "&amp;C3&amp;" ("</f>
        <v>CREATE TABLE PRODUCT (</v>
      </c>
      <c r="K5" s="1"/>
      <c r="L5" s="1"/>
      <c r="M5" s="1"/>
      <c r="N5" s="1"/>
      <c r="O5" s="1"/>
      <c r="P5" s="1"/>
      <c r="Q5" s="1"/>
      <c r="R5" s="1"/>
      <c r="S5" s="1" t="str">
        <f>"COMMENT ON TABLE " &amp; C3 &amp; " IS '" &amp; SUBSTITUTE(B3,"'","''") &amp; "'"</f>
        <v>COMMENT ON TABLE PRODUCT IS '품목관리'</v>
      </c>
      <c r="X5" s="13" t="s">
        <v>771</v>
      </c>
    </row>
    <row r="6" spans="1:24" x14ac:dyDescent="0.3">
      <c r="A6" s="2" t="s">
        <v>122</v>
      </c>
      <c r="B6" s="2" t="s">
        <v>35</v>
      </c>
      <c r="C6" s="2" t="s">
        <v>528</v>
      </c>
      <c r="D6" s="2" t="s">
        <v>52</v>
      </c>
      <c r="E6" s="2" t="s">
        <v>618</v>
      </c>
      <c r="F6" s="2">
        <v>10</v>
      </c>
      <c r="G6" s="2" t="s">
        <v>90</v>
      </c>
      <c r="H6" s="2"/>
      <c r="I6" s="1"/>
      <c r="J6" s="1" t="str">
        <f>""&amp;C6&amp;""</f>
        <v>PLANT_CODE</v>
      </c>
      <c r="K6" s="1" t="str">
        <f>""&amp;E6&amp;""</f>
        <v>NVARCHAR2</v>
      </c>
      <c r="L6" s="1" t="str">
        <f>IF(F6="","","(")</f>
        <v>(</v>
      </c>
      <c r="M6" s="1">
        <f>IF(F6="","",F6)</f>
        <v>10</v>
      </c>
      <c r="N6" s="1" t="str">
        <f>IF(F6="","",")")</f>
        <v>)</v>
      </c>
      <c r="O6" s="1" t="str">
        <f t="shared" ref="O6:O22" si="0">IF(H6&lt;&gt;"","DEFAULT "&amp;H6,"")</f>
        <v/>
      </c>
      <c r="P6" s="1" t="str">
        <f>IF(G6="N","NOT NULL","NULL")</f>
        <v>NOT NULL</v>
      </c>
      <c r="Q6" s="1" t="s">
        <v>113</v>
      </c>
      <c r="S6" s="1" t="str">
        <f>"COMMENT ON COLUMN " &amp; C3 &amp; "." &amp; C6 &amp; " IS '" &amp; B6 &amp; "'"</f>
        <v>COMMENT ON COLUMN PRODUCT.PLANT_CODE IS '고객사코드'</v>
      </c>
      <c r="X6" s="13" t="s">
        <v>771</v>
      </c>
    </row>
    <row r="7" spans="1:24" x14ac:dyDescent="0.3">
      <c r="A7" s="2" t="s">
        <v>122</v>
      </c>
      <c r="B7" s="12" t="s">
        <v>821</v>
      </c>
      <c r="C7" s="12" t="s">
        <v>818</v>
      </c>
      <c r="D7" s="2" t="s">
        <v>139</v>
      </c>
      <c r="E7" s="12" t="s">
        <v>619</v>
      </c>
      <c r="F7" s="2">
        <v>20</v>
      </c>
      <c r="G7" s="2" t="s">
        <v>90</v>
      </c>
      <c r="H7" s="12"/>
      <c r="I7" s="1"/>
      <c r="J7" s="1" t="str">
        <f t="shared" ref="J7:J22" si="1">""&amp;C7&amp;""</f>
        <v>PRODUCT_TYPE</v>
      </c>
      <c r="K7" s="1" t="str">
        <f t="shared" ref="K7:K22" si="2">""&amp;E7&amp;""</f>
        <v>NVARCHAR2</v>
      </c>
      <c r="L7" s="1" t="str">
        <f t="shared" ref="L7:L22" si="3">IF(F7="","","(")</f>
        <v>(</v>
      </c>
      <c r="M7" s="1">
        <f t="shared" ref="M7:M22" si="4">IF(F7="","",F7)</f>
        <v>20</v>
      </c>
      <c r="N7" s="1" t="str">
        <f t="shared" ref="N7:N22" si="5">IF(F7="","",")")</f>
        <v>)</v>
      </c>
      <c r="O7" s="1" t="str">
        <f t="shared" si="0"/>
        <v/>
      </c>
      <c r="P7" s="1" t="str">
        <f t="shared" ref="P7:P22" si="6">IF(G7="N","NOT NULL","NULL")</f>
        <v>NOT NULL</v>
      </c>
      <c r="Q7" s="1" t="s">
        <v>113</v>
      </c>
      <c r="R7" s="1"/>
      <c r="S7" s="1" t="str">
        <f>"COMMENT ON COLUMN " &amp; C3 &amp; "." &amp; C7 &amp; " IS '" &amp; B7 &amp; "'"</f>
        <v>COMMENT ON COLUMN PRODUCT.PRODUCT_TYPE IS '제품유형'</v>
      </c>
      <c r="X7" s="13" t="s">
        <v>771</v>
      </c>
    </row>
    <row r="8" spans="1:24" x14ac:dyDescent="0.3">
      <c r="A8" s="2" t="s">
        <v>122</v>
      </c>
      <c r="B8" s="12" t="s">
        <v>582</v>
      </c>
      <c r="C8" s="12" t="s">
        <v>819</v>
      </c>
      <c r="D8" s="2" t="s">
        <v>143</v>
      </c>
      <c r="E8" s="2" t="s">
        <v>618</v>
      </c>
      <c r="F8" s="2">
        <v>20</v>
      </c>
      <c r="G8" s="2" t="s">
        <v>90</v>
      </c>
      <c r="H8" s="12"/>
      <c r="I8" s="1"/>
      <c r="J8" s="1" t="str">
        <f t="shared" si="1"/>
        <v>PRODUCT_CODE</v>
      </c>
      <c r="K8" s="1" t="str">
        <f t="shared" si="2"/>
        <v>NVARCHAR2</v>
      </c>
      <c r="L8" s="1" t="str">
        <f t="shared" si="3"/>
        <v>(</v>
      </c>
      <c r="M8" s="1">
        <f t="shared" si="4"/>
        <v>20</v>
      </c>
      <c r="N8" s="1" t="str">
        <f t="shared" si="5"/>
        <v>)</v>
      </c>
      <c r="O8" s="1" t="str">
        <f t="shared" si="0"/>
        <v/>
      </c>
      <c r="P8" s="1" t="str">
        <f t="shared" si="6"/>
        <v>NOT NULL</v>
      </c>
      <c r="Q8" s="1" t="s">
        <v>113</v>
      </c>
      <c r="R8" s="1"/>
      <c r="S8" s="1" t="str">
        <f>"COMMENT ON COLUMN " &amp; C3 &amp; "." &amp; C8 &amp; " IS '" &amp; B8 &amp; "'"</f>
        <v>COMMENT ON COLUMN PRODUCT.PRODUCT_CODE IS '제품코드'</v>
      </c>
      <c r="X8" s="13" t="s">
        <v>771</v>
      </c>
    </row>
    <row r="9" spans="1:24" x14ac:dyDescent="0.3">
      <c r="A9" s="2"/>
      <c r="B9" s="12" t="s">
        <v>581</v>
      </c>
      <c r="C9" s="12" t="s">
        <v>820</v>
      </c>
      <c r="D9" s="2" t="s">
        <v>250</v>
      </c>
      <c r="E9" s="2" t="s">
        <v>618</v>
      </c>
      <c r="F9" s="2">
        <v>100</v>
      </c>
      <c r="G9" s="2" t="s">
        <v>90</v>
      </c>
      <c r="H9" s="12"/>
      <c r="I9" s="1"/>
      <c r="J9" s="1" t="str">
        <f t="shared" si="1"/>
        <v>PRODUCT_NAME</v>
      </c>
      <c r="K9" s="1" t="str">
        <f t="shared" si="2"/>
        <v>NVARCHAR2</v>
      </c>
      <c r="L9" s="1" t="str">
        <f t="shared" si="3"/>
        <v>(</v>
      </c>
      <c r="M9" s="1">
        <f t="shared" si="4"/>
        <v>100</v>
      </c>
      <c r="N9" s="1" t="str">
        <f t="shared" si="5"/>
        <v>)</v>
      </c>
      <c r="O9" s="1" t="str">
        <f t="shared" si="0"/>
        <v/>
      </c>
      <c r="P9" s="1" t="str">
        <f t="shared" si="6"/>
        <v>NOT NULL</v>
      </c>
      <c r="Q9" s="1" t="s">
        <v>113</v>
      </c>
      <c r="R9" s="1"/>
      <c r="S9" s="1" t="str">
        <f>"COMMENT ON COLUMN " &amp; C3 &amp; "." &amp; C9 &amp; " IS '" &amp; B9 &amp; "'"</f>
        <v>COMMENT ON COLUMN PRODUCT.PRODUCT_NAME IS '제품명'</v>
      </c>
      <c r="X9" s="13" t="s">
        <v>771</v>
      </c>
    </row>
    <row r="10" spans="1:24" x14ac:dyDescent="0.3">
      <c r="A10" s="2"/>
      <c r="B10" s="2" t="s">
        <v>84</v>
      </c>
      <c r="C10" s="12" t="s">
        <v>629</v>
      </c>
      <c r="D10" s="2" t="s">
        <v>84</v>
      </c>
      <c r="E10" s="2" t="s">
        <v>618</v>
      </c>
      <c r="F10" s="2">
        <v>10</v>
      </c>
      <c r="G10" s="12" t="s">
        <v>564</v>
      </c>
      <c r="H10" s="12"/>
      <c r="I10" s="1"/>
      <c r="J10" s="1" t="str">
        <f t="shared" si="1"/>
        <v>UOM</v>
      </c>
      <c r="K10" s="1" t="str">
        <f t="shared" si="2"/>
        <v>NVARCHAR2</v>
      </c>
      <c r="L10" s="1" t="str">
        <f t="shared" si="3"/>
        <v>(</v>
      </c>
      <c r="M10" s="1">
        <f t="shared" si="4"/>
        <v>10</v>
      </c>
      <c r="N10" s="1" t="str">
        <f t="shared" si="5"/>
        <v>)</v>
      </c>
      <c r="O10" s="1" t="str">
        <f t="shared" si="0"/>
        <v/>
      </c>
      <c r="P10" s="1" t="str">
        <f t="shared" si="6"/>
        <v>NOT NULL</v>
      </c>
      <c r="Q10" s="1" t="s">
        <v>113</v>
      </c>
      <c r="R10" s="1"/>
      <c r="S10" s="1" t="str">
        <f>"COMMENT ON COLUMN " &amp; C3 &amp; "." &amp; C10 &amp; " IS '" &amp; B10 &amp; "'"</f>
        <v>COMMENT ON COLUMN PRODUCT.UOM IS '단위'</v>
      </c>
      <c r="X10" s="13" t="s">
        <v>771</v>
      </c>
    </row>
    <row r="11" spans="1:24" x14ac:dyDescent="0.3">
      <c r="A11" s="2"/>
      <c r="B11" s="12" t="s">
        <v>625</v>
      </c>
      <c r="C11" s="12" t="s">
        <v>788</v>
      </c>
      <c r="D11" s="2"/>
      <c r="E11" s="12" t="s">
        <v>619</v>
      </c>
      <c r="F11" s="2">
        <v>20</v>
      </c>
      <c r="G11" s="2" t="s">
        <v>122</v>
      </c>
      <c r="H11" s="12"/>
      <c r="I11" s="1"/>
      <c r="J11" s="1" t="str">
        <f t="shared" si="1"/>
        <v>PRODUCT_GROUP</v>
      </c>
      <c r="K11" s="1" t="str">
        <f t="shared" si="2"/>
        <v>NVARCHAR2</v>
      </c>
      <c r="L11" s="1" t="str">
        <f t="shared" si="3"/>
        <v>(</v>
      </c>
      <c r="M11" s="1">
        <f t="shared" si="4"/>
        <v>20</v>
      </c>
      <c r="N11" s="1" t="str">
        <f t="shared" si="5"/>
        <v>)</v>
      </c>
      <c r="O11" s="1" t="str">
        <f t="shared" si="0"/>
        <v/>
      </c>
      <c r="P11" s="1" t="str">
        <f t="shared" si="6"/>
        <v>NULL</v>
      </c>
      <c r="Q11" s="1" t="s">
        <v>113</v>
      </c>
      <c r="R11" s="1"/>
      <c r="S11" s="1" t="str">
        <f>"COMMENT ON COLUMN " &amp; C3 &amp; "." &amp; C11 &amp; " IS '" &amp; B11 &amp; "'"</f>
        <v>COMMENT ON COLUMN PRODUCT.PRODUCT_GROUP IS '제품군'</v>
      </c>
      <c r="X11" s="13" t="s">
        <v>771</v>
      </c>
    </row>
    <row r="12" spans="1:24" x14ac:dyDescent="0.3">
      <c r="A12" s="2"/>
      <c r="B12" s="12" t="s">
        <v>627</v>
      </c>
      <c r="C12" s="12" t="s">
        <v>628</v>
      </c>
      <c r="D12" s="2"/>
      <c r="E12" s="12" t="s">
        <v>619</v>
      </c>
      <c r="F12" s="2">
        <v>20</v>
      </c>
      <c r="G12" s="2" t="s">
        <v>122</v>
      </c>
      <c r="H12" s="12"/>
      <c r="I12" s="1"/>
      <c r="J12" s="1" t="str">
        <f t="shared" si="1"/>
        <v>FEED_FORM</v>
      </c>
      <c r="K12" s="1" t="str">
        <f t="shared" si="2"/>
        <v>NVARCHAR2</v>
      </c>
      <c r="L12" s="1" t="str">
        <f t="shared" si="3"/>
        <v>(</v>
      </c>
      <c r="M12" s="1">
        <f t="shared" si="4"/>
        <v>20</v>
      </c>
      <c r="N12" s="1" t="str">
        <f t="shared" si="5"/>
        <v>)</v>
      </c>
      <c r="O12" s="1" t="str">
        <f t="shared" si="0"/>
        <v/>
      </c>
      <c r="P12" s="1" t="str">
        <f t="shared" si="6"/>
        <v>NULL</v>
      </c>
      <c r="Q12" s="1" t="s">
        <v>113</v>
      </c>
      <c r="R12" s="1"/>
      <c r="S12" s="1" t="str">
        <f>"COMMENT ON COLUMN " &amp; C3 &amp; "." &amp; C12 &amp; " IS '" &amp; B12 &amp; "'"</f>
        <v>COMMENT ON COLUMN PRODUCT.FEED_FORM IS '가공형태'</v>
      </c>
      <c r="X12" s="13" t="s">
        <v>771</v>
      </c>
    </row>
    <row r="13" spans="1:24" x14ac:dyDescent="0.3">
      <c r="A13" s="2"/>
      <c r="B13" s="12" t="s">
        <v>630</v>
      </c>
      <c r="C13" s="12" t="s">
        <v>635</v>
      </c>
      <c r="D13" s="2"/>
      <c r="E13" s="12" t="s">
        <v>546</v>
      </c>
      <c r="F13" s="2"/>
      <c r="G13" s="2" t="s">
        <v>122</v>
      </c>
      <c r="H13" s="12"/>
      <c r="I13" s="1"/>
      <c r="J13" s="1" t="str">
        <f t="shared" si="1"/>
        <v>MIX_TIME</v>
      </c>
      <c r="K13" s="1" t="str">
        <f t="shared" si="2"/>
        <v>NUMBER</v>
      </c>
      <c r="L13" s="1" t="str">
        <f t="shared" si="3"/>
        <v/>
      </c>
      <c r="M13" s="1" t="str">
        <f t="shared" si="4"/>
        <v/>
      </c>
      <c r="N13" s="1" t="str">
        <f t="shared" si="5"/>
        <v/>
      </c>
      <c r="O13" s="1" t="str">
        <f t="shared" si="0"/>
        <v/>
      </c>
      <c r="P13" s="1" t="str">
        <f t="shared" si="6"/>
        <v>NULL</v>
      </c>
      <c r="Q13" s="1" t="s">
        <v>113</v>
      </c>
      <c r="R13" s="1"/>
      <c r="S13" s="1" t="str">
        <f>"COMMENT ON COLUMN " &amp; C3 &amp; "." &amp; C13 &amp; " IS '" &amp; B13 &amp; "'"</f>
        <v>COMMENT ON COLUMN PRODUCT.MIX_TIME IS '배합시간'</v>
      </c>
      <c r="X13" s="13" t="s">
        <v>771</v>
      </c>
    </row>
    <row r="14" spans="1:24" x14ac:dyDescent="0.3">
      <c r="A14" s="2"/>
      <c r="B14" s="12" t="s">
        <v>631</v>
      </c>
      <c r="C14" s="12" t="s">
        <v>636</v>
      </c>
      <c r="D14" s="2"/>
      <c r="E14" s="12" t="s">
        <v>546</v>
      </c>
      <c r="F14" s="2"/>
      <c r="G14" s="2" t="s">
        <v>122</v>
      </c>
      <c r="H14" s="12"/>
      <c r="I14" s="1"/>
      <c r="J14" s="1" t="str">
        <f t="shared" si="1"/>
        <v>DRY_TIME</v>
      </c>
      <c r="K14" s="1" t="str">
        <f t="shared" si="2"/>
        <v>NUMBER</v>
      </c>
      <c r="L14" s="1" t="str">
        <f t="shared" si="3"/>
        <v/>
      </c>
      <c r="M14" s="1" t="str">
        <f t="shared" si="4"/>
        <v/>
      </c>
      <c r="N14" s="1" t="str">
        <f t="shared" si="5"/>
        <v/>
      </c>
      <c r="O14" s="1" t="str">
        <f t="shared" si="0"/>
        <v/>
      </c>
      <c r="P14" s="1" t="str">
        <f t="shared" si="6"/>
        <v>NULL</v>
      </c>
      <c r="Q14" s="1" t="s">
        <v>113</v>
      </c>
      <c r="R14" s="1"/>
      <c r="S14" s="1" t="str">
        <f>"COMMENT ON COLUMN " &amp; C3 &amp; "." &amp; C14 &amp; " IS '" &amp; B14 &amp; "'"</f>
        <v>COMMENT ON COLUMN PRODUCT.DRY_TIME IS '드라이시간'</v>
      </c>
      <c r="X14" s="13" t="s">
        <v>771</v>
      </c>
    </row>
    <row r="15" spans="1:24" x14ac:dyDescent="0.3">
      <c r="A15" s="2"/>
      <c r="B15" s="12" t="s">
        <v>632</v>
      </c>
      <c r="C15" s="12" t="s">
        <v>637</v>
      </c>
      <c r="D15" s="2"/>
      <c r="E15" s="12" t="s">
        <v>546</v>
      </c>
      <c r="F15" s="2"/>
      <c r="G15" s="2" t="s">
        <v>122</v>
      </c>
      <c r="H15" s="12"/>
      <c r="I15" s="1"/>
      <c r="J15" s="1" t="str">
        <f t="shared" si="1"/>
        <v>FINAL_TIME</v>
      </c>
      <c r="K15" s="1" t="str">
        <f t="shared" si="2"/>
        <v>NUMBER</v>
      </c>
      <c r="L15" s="1" t="str">
        <f t="shared" si="3"/>
        <v/>
      </c>
      <c r="M15" s="1" t="str">
        <f t="shared" si="4"/>
        <v/>
      </c>
      <c r="N15" s="1" t="str">
        <f t="shared" si="5"/>
        <v/>
      </c>
      <c r="O15" s="1" t="str">
        <f t="shared" si="0"/>
        <v/>
      </c>
      <c r="P15" s="1" t="str">
        <f t="shared" si="6"/>
        <v>NULL</v>
      </c>
      <c r="Q15" s="1" t="s">
        <v>113</v>
      </c>
      <c r="R15" s="1"/>
      <c r="S15" s="1" t="str">
        <f>"COMMENT ON COLUMN " &amp; C3 &amp; "." &amp; C15 &amp; " IS '" &amp; B15 &amp; "'"</f>
        <v>COMMENT ON COLUMN PRODUCT.FINAL_TIME IS '파이널시간'</v>
      </c>
      <c r="X15" s="13" t="s">
        <v>771</v>
      </c>
    </row>
    <row r="16" spans="1:24" x14ac:dyDescent="0.3">
      <c r="A16" s="2"/>
      <c r="B16" s="12" t="s">
        <v>633</v>
      </c>
      <c r="C16" s="12" t="s">
        <v>638</v>
      </c>
      <c r="D16" s="2"/>
      <c r="E16" s="12" t="s">
        <v>563</v>
      </c>
      <c r="F16" s="2">
        <v>1</v>
      </c>
      <c r="G16" s="2" t="s">
        <v>122</v>
      </c>
      <c r="H16" s="12"/>
      <c r="I16" s="1"/>
      <c r="J16" s="1" t="str">
        <f t="shared" si="1"/>
        <v>SORTER_YN</v>
      </c>
      <c r="K16" s="1" t="str">
        <f t="shared" si="2"/>
        <v>CHAR</v>
      </c>
      <c r="L16" s="1" t="str">
        <f t="shared" si="3"/>
        <v>(</v>
      </c>
      <c r="M16" s="1">
        <f t="shared" si="4"/>
        <v>1</v>
      </c>
      <c r="N16" s="1" t="str">
        <f t="shared" si="5"/>
        <v>)</v>
      </c>
      <c r="O16" s="1" t="str">
        <f t="shared" si="0"/>
        <v/>
      </c>
      <c r="P16" s="1" t="str">
        <f t="shared" si="6"/>
        <v>NULL</v>
      </c>
      <c r="Q16" s="1" t="s">
        <v>113</v>
      </c>
      <c r="R16" s="1"/>
      <c r="S16" s="1" t="str">
        <f>"COMMENT ON COLUMN " &amp; C3 &amp; "." &amp; C16 &amp; " IS '" &amp; B16 &amp; "'"</f>
        <v>COMMENT ON COLUMN PRODUCT.SORTER_YN IS '정선기통과유무'</v>
      </c>
      <c r="X16" s="13" t="s">
        <v>771</v>
      </c>
    </row>
    <row r="17" spans="1:24" x14ac:dyDescent="0.3">
      <c r="A17" s="2"/>
      <c r="B17" s="12" t="s">
        <v>634</v>
      </c>
      <c r="C17" s="12" t="s">
        <v>639</v>
      </c>
      <c r="D17" s="2"/>
      <c r="E17" s="12" t="s">
        <v>619</v>
      </c>
      <c r="F17" s="2">
        <v>250</v>
      </c>
      <c r="G17" s="2" t="s">
        <v>122</v>
      </c>
      <c r="H17" s="12"/>
      <c r="I17" s="1"/>
      <c r="J17" s="1" t="str">
        <f t="shared" si="1"/>
        <v>REMARKS</v>
      </c>
      <c r="K17" s="1" t="str">
        <f t="shared" si="2"/>
        <v>NVARCHAR2</v>
      </c>
      <c r="L17" s="1" t="str">
        <f t="shared" si="3"/>
        <v>(</v>
      </c>
      <c r="M17" s="1">
        <f t="shared" si="4"/>
        <v>250</v>
      </c>
      <c r="N17" s="1" t="str">
        <f t="shared" si="5"/>
        <v>)</v>
      </c>
      <c r="O17" s="1" t="str">
        <f t="shared" si="0"/>
        <v/>
      </c>
      <c r="P17" s="1" t="str">
        <f t="shared" si="6"/>
        <v>NULL</v>
      </c>
      <c r="Q17" s="1" t="s">
        <v>113</v>
      </c>
      <c r="R17" s="1"/>
      <c r="S17" s="1" t="str">
        <f>"COMMENT ON COLUMN " &amp; C3 &amp; "." &amp; C17 &amp; " IS '" &amp; B17 &amp; "'"</f>
        <v>COMMENT ON COLUMN PRODUCT.REMARKS IS '메모'</v>
      </c>
      <c r="X17" s="13" t="s">
        <v>771</v>
      </c>
    </row>
    <row r="18" spans="1:24" x14ac:dyDescent="0.3">
      <c r="A18" s="2"/>
      <c r="B18" s="12" t="s">
        <v>534</v>
      </c>
      <c r="C18" s="12" t="s">
        <v>217</v>
      </c>
      <c r="D18" s="2"/>
      <c r="E18" s="12" t="s">
        <v>563</v>
      </c>
      <c r="F18" s="2">
        <v>1</v>
      </c>
      <c r="G18" s="2" t="s">
        <v>122</v>
      </c>
      <c r="H18" s="12"/>
      <c r="I18" s="1"/>
      <c r="J18" s="1" t="str">
        <f t="shared" si="1"/>
        <v>USEFLAG</v>
      </c>
      <c r="K18" s="1" t="str">
        <f t="shared" si="2"/>
        <v>CHAR</v>
      </c>
      <c r="L18" s="1" t="str">
        <f t="shared" si="3"/>
        <v>(</v>
      </c>
      <c r="M18" s="1">
        <f t="shared" si="4"/>
        <v>1</v>
      </c>
      <c r="N18" s="1" t="str">
        <f t="shared" si="5"/>
        <v>)</v>
      </c>
      <c r="O18" s="1" t="str">
        <f t="shared" si="0"/>
        <v/>
      </c>
      <c r="P18" s="1" t="str">
        <f t="shared" si="6"/>
        <v>NULL</v>
      </c>
      <c r="Q18" s="1" t="s">
        <v>113</v>
      </c>
      <c r="R18" s="1"/>
      <c r="S18" s="1" t="str">
        <f>"COMMENT ON COLUMN " &amp; C3 &amp; "." &amp; C18 &amp; " IS '" &amp; B18 &amp; "'"</f>
        <v>COMMENT ON COLUMN PRODUCT.USEFLAG IS '사용여부'</v>
      </c>
      <c r="X18" s="13" t="s">
        <v>771</v>
      </c>
    </row>
    <row r="19" spans="1:24" x14ac:dyDescent="0.3">
      <c r="A19" s="2"/>
      <c r="B19" s="2" t="s">
        <v>111</v>
      </c>
      <c r="C19" s="2" t="s">
        <v>790</v>
      </c>
      <c r="D19" s="2" t="s">
        <v>188</v>
      </c>
      <c r="E19" s="2" t="s">
        <v>618</v>
      </c>
      <c r="F19" s="2">
        <v>20</v>
      </c>
      <c r="G19" s="2" t="s">
        <v>90</v>
      </c>
      <c r="H19" s="15"/>
      <c r="I19" s="1"/>
      <c r="J19" s="1" t="str">
        <f t="shared" si="1"/>
        <v>INITBY</v>
      </c>
      <c r="K19" s="1" t="str">
        <f t="shared" si="2"/>
        <v>NVARCHAR2</v>
      </c>
      <c r="L19" s="1" t="str">
        <f t="shared" si="3"/>
        <v>(</v>
      </c>
      <c r="M19" s="1">
        <f t="shared" si="4"/>
        <v>20</v>
      </c>
      <c r="N19" s="1" t="str">
        <f t="shared" si="5"/>
        <v>)</v>
      </c>
      <c r="O19" s="1" t="str">
        <f t="shared" si="0"/>
        <v/>
      </c>
      <c r="P19" s="1" t="str">
        <f t="shared" si="6"/>
        <v>NOT NULL</v>
      </c>
      <c r="Q19" s="1" t="s">
        <v>113</v>
      </c>
      <c r="R19" s="1"/>
      <c r="S19" s="1" t="str">
        <f>"COMMENT ON COLUMN " &amp; C3 &amp; "." &amp; C19 &amp; " IS '" &amp; B19 &amp; "'"</f>
        <v>COMMENT ON COLUMN PRODUCT.INITBY IS '입력자'</v>
      </c>
      <c r="X19" s="13" t="s">
        <v>771</v>
      </c>
    </row>
    <row r="20" spans="1:24" x14ac:dyDescent="0.3">
      <c r="A20" s="2"/>
      <c r="B20" s="2" t="s">
        <v>254</v>
      </c>
      <c r="C20" s="2" t="s">
        <v>791</v>
      </c>
      <c r="D20" s="2" t="s">
        <v>254</v>
      </c>
      <c r="E20" s="2" t="s">
        <v>228</v>
      </c>
      <c r="F20" s="2"/>
      <c r="G20" s="2" t="s">
        <v>90</v>
      </c>
      <c r="H20" s="12" t="s">
        <v>570</v>
      </c>
      <c r="I20" s="1"/>
      <c r="J20" s="1" t="str">
        <f t="shared" si="1"/>
        <v>INITDTTM</v>
      </c>
      <c r="K20" s="1" t="str">
        <f t="shared" si="2"/>
        <v>DATE</v>
      </c>
      <c r="L20" s="1" t="str">
        <f t="shared" si="3"/>
        <v/>
      </c>
      <c r="M20" s="1" t="str">
        <f t="shared" si="4"/>
        <v/>
      </c>
      <c r="N20" s="1" t="str">
        <f t="shared" si="5"/>
        <v/>
      </c>
      <c r="O20" s="1" t="str">
        <f t="shared" si="0"/>
        <v>DEFAULT SYSDATE</v>
      </c>
      <c r="P20" s="1" t="str">
        <f t="shared" si="6"/>
        <v>NOT NULL</v>
      </c>
      <c r="Q20" s="1" t="s">
        <v>113</v>
      </c>
      <c r="R20" s="1"/>
      <c r="S20" s="1" t="str">
        <f>"COMMENT ON COLUMN " &amp; C3 &amp; "." &amp; C20 &amp; " IS '" &amp; B20 &amp; "'"</f>
        <v>COMMENT ON COLUMN PRODUCT.INITDTTM IS '입력일시'</v>
      </c>
      <c r="X20" s="13" t="s">
        <v>771</v>
      </c>
    </row>
    <row r="21" spans="1:24" x14ac:dyDescent="0.3">
      <c r="A21" s="2"/>
      <c r="B21" s="2" t="s">
        <v>99</v>
      </c>
      <c r="C21" s="2" t="s">
        <v>793</v>
      </c>
      <c r="D21" s="2" t="s">
        <v>197</v>
      </c>
      <c r="E21" s="2" t="s">
        <v>618</v>
      </c>
      <c r="F21" s="2">
        <v>20</v>
      </c>
      <c r="G21" s="2" t="s">
        <v>122</v>
      </c>
      <c r="H21" s="15"/>
      <c r="I21" s="1"/>
      <c r="J21" s="1" t="str">
        <f t="shared" si="1"/>
        <v>UPBY</v>
      </c>
      <c r="K21" s="1" t="str">
        <f t="shared" si="2"/>
        <v>NVARCHAR2</v>
      </c>
      <c r="L21" s="1" t="str">
        <f t="shared" si="3"/>
        <v>(</v>
      </c>
      <c r="M21" s="1">
        <f t="shared" si="4"/>
        <v>20</v>
      </c>
      <c r="N21" s="1" t="str">
        <f t="shared" si="5"/>
        <v>)</v>
      </c>
      <c r="O21" s="1" t="str">
        <f t="shared" si="0"/>
        <v/>
      </c>
      <c r="P21" s="1" t="str">
        <f t="shared" si="6"/>
        <v>NULL</v>
      </c>
      <c r="Q21" s="1" t="s">
        <v>113</v>
      </c>
      <c r="R21" s="1"/>
      <c r="S21" s="1" t="str">
        <f>"COMMENT ON COLUMN " &amp; C3 &amp; "." &amp; C21 &amp; " IS '" &amp; B21 &amp; "'"</f>
        <v>COMMENT ON COLUMN PRODUCT.UPBY IS '수정자'</v>
      </c>
      <c r="X21" s="13" t="s">
        <v>771</v>
      </c>
    </row>
    <row r="22" spans="1:24" x14ac:dyDescent="0.3">
      <c r="A22" s="2"/>
      <c r="B22" s="2" t="s">
        <v>259</v>
      </c>
      <c r="C22" s="2" t="s">
        <v>792</v>
      </c>
      <c r="D22" s="2" t="s">
        <v>259</v>
      </c>
      <c r="E22" s="2" t="s">
        <v>228</v>
      </c>
      <c r="F22" s="2"/>
      <c r="G22" s="2" t="s">
        <v>122</v>
      </c>
      <c r="H22" s="12"/>
      <c r="I22" s="1"/>
      <c r="J22" s="1" t="str">
        <f t="shared" si="1"/>
        <v>UPDTTM</v>
      </c>
      <c r="K22" s="1" t="str">
        <f t="shared" si="2"/>
        <v>DATE</v>
      </c>
      <c r="L22" s="1" t="str">
        <f t="shared" si="3"/>
        <v/>
      </c>
      <c r="M22" s="1" t="str">
        <f t="shared" si="4"/>
        <v/>
      </c>
      <c r="N22" s="1" t="str">
        <f t="shared" si="5"/>
        <v/>
      </c>
      <c r="O22" s="1" t="str">
        <f t="shared" si="0"/>
        <v/>
      </c>
      <c r="P22" s="1" t="str">
        <f t="shared" si="6"/>
        <v>NULL</v>
      </c>
      <c r="Q22" s="21" t="s">
        <v>723</v>
      </c>
      <c r="R22" s="1"/>
      <c r="S22" s="1" t="str">
        <f>"COMMENT ON COLUMN " &amp; C3 &amp; "." &amp; C22 &amp; " IS '" &amp; B22 &amp; "'"</f>
        <v>COMMENT ON COLUMN PRODUCT.UPDTTM IS '수정일시'</v>
      </c>
      <c r="X22" s="13" t="s">
        <v>771</v>
      </c>
    </row>
    <row r="23" spans="1:24" x14ac:dyDescent="0.3">
      <c r="J23" s="13" t="str">
        <f>"ALTER TABLE "&amp;C3&amp;""</f>
        <v>ALTER TABLE PRODUCT</v>
      </c>
    </row>
    <row r="24" spans="1:24" x14ac:dyDescent="0.3">
      <c r="J24" s="13" t="str" cm="1">
        <f t="array" ref="J24">"ADD CONSTRAINT PK_"&amp;C3&amp;" PRIMARY KEY (" &amp; _xlfn.TEXTJOIN(", ", TRUE, _xlfn._xlws.FILTER(C6:C67, A6:A67="Y")) &amp; ")"</f>
        <v>ADD CONSTRAINT PK_PRODUCT PRIMARY KEY (PLANT_CODE, PRODUCT_TYPE, PRODUCT_CODE)</v>
      </c>
      <c r="Q24" s="13" t="s">
        <v>771</v>
      </c>
    </row>
  </sheetData>
  <phoneticPr fontId="7" type="noConversion"/>
  <hyperlinks>
    <hyperlink ref="A1" location="리스트!A1" display="리스트로 이동" xr:uid="{79CA04FC-8766-4373-9983-EA26689BE9C1}"/>
  </hyperlinks>
  <pageMargins left="0.74805557727813721" right="0.74805557727813721" top="0.98430556058883667" bottom="0.98430556058883667" header="0.51166665554046631" footer="0.51166665554046631"/>
  <pageSetup paperSize="9" fitToWidth="0" fitToHeight="0" orientation="portrait" horizontalDpi="0" verticalDpi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1E062-35AB-4DCA-8736-F834F6E60BC3}">
  <dimension ref="A1:S19"/>
  <sheetViews>
    <sheetView zoomScaleNormal="100" zoomScaleSheetLayoutView="100" workbookViewId="0">
      <selection activeCell="J3" sqref="J3:Q3"/>
    </sheetView>
  </sheetViews>
  <sheetFormatPr defaultColWidth="9" defaultRowHeight="16.5" x14ac:dyDescent="0.3"/>
  <cols>
    <col min="1" max="1" width="8.625" bestFit="1" customWidth="1"/>
    <col min="2" max="2" width="13.75" bestFit="1" customWidth="1"/>
    <col min="3" max="3" width="19.5" bestFit="1" customWidth="1"/>
    <col min="4" max="4" width="19.375" bestFit="1" customWidth="1"/>
    <col min="5" max="5" width="12.75" bestFit="1" customWidth="1"/>
    <col min="6" max="6" width="6.75" bestFit="1" customWidth="1"/>
    <col min="7" max="7" width="9" bestFit="1" customWidth="1"/>
    <col min="8" max="8" width="9" customWidth="1"/>
    <col min="10" max="11" width="16.875" customWidth="1"/>
    <col min="12" max="12" width="1.625" bestFit="1" customWidth="1"/>
    <col min="13" max="13" width="3.75" customWidth="1"/>
    <col min="14" max="14" width="1.625" bestFit="1" customWidth="1"/>
    <col min="15" max="15" width="10.125" bestFit="1" customWidth="1"/>
    <col min="16" max="16" width="18.375" bestFit="1" customWidth="1"/>
    <col min="17" max="17" width="10.125" bestFit="1" customWidth="1"/>
    <col min="18" max="18" width="16.875" customWidth="1"/>
  </cols>
  <sheetData>
    <row r="1" spans="1:19" x14ac:dyDescent="0.3">
      <c r="A1" s="16" t="s">
        <v>615</v>
      </c>
    </row>
    <row r="2" spans="1:19" x14ac:dyDescent="0.3">
      <c r="A2" s="2"/>
      <c r="B2" s="2" t="s">
        <v>116</v>
      </c>
      <c r="C2" s="2" t="s">
        <v>119</v>
      </c>
      <c r="D2" s="2" t="s">
        <v>112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3">
      <c r="A3" s="2"/>
      <c r="B3" s="12" t="s">
        <v>713</v>
      </c>
      <c r="C3" s="14" t="s">
        <v>712</v>
      </c>
      <c r="D3" s="2"/>
      <c r="E3" s="1"/>
      <c r="F3" s="1"/>
      <c r="G3" s="1"/>
      <c r="H3" s="1"/>
      <c r="I3" s="1"/>
      <c r="J3" s="13" t="str">
        <f>"DROP TABLE "&amp;C3&amp;" CASCADE CONSTRAINTS PURGE"</f>
        <v>DROP TABLE MATERAL_ADJUST CASCADE CONSTRAINTS PURGE</v>
      </c>
      <c r="K3" s="1"/>
      <c r="L3" s="1"/>
      <c r="M3" s="1"/>
      <c r="N3" s="1"/>
      <c r="O3" s="1"/>
      <c r="P3" s="21"/>
      <c r="Q3" s="21" t="s">
        <v>771</v>
      </c>
      <c r="R3" s="1"/>
      <c r="S3" s="1"/>
    </row>
    <row r="4" spans="1:19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3">
      <c r="A5" s="2" t="s">
        <v>88</v>
      </c>
      <c r="B5" s="2" t="s">
        <v>215</v>
      </c>
      <c r="C5" s="2" t="s">
        <v>252</v>
      </c>
      <c r="D5" s="2" t="s">
        <v>169</v>
      </c>
      <c r="E5" s="2" t="s">
        <v>265</v>
      </c>
      <c r="F5" s="2" t="s">
        <v>101</v>
      </c>
      <c r="G5" s="2" t="s">
        <v>205</v>
      </c>
      <c r="H5" s="12" t="s">
        <v>569</v>
      </c>
      <c r="I5" s="1"/>
      <c r="J5" s="1" t="str">
        <f>"CREATE TABLE "&amp;C3&amp;" ("</f>
        <v>CREATE TABLE MATERAL_ADJUST (</v>
      </c>
      <c r="K5" s="1"/>
      <c r="L5" s="1"/>
      <c r="M5" s="1"/>
      <c r="N5" s="1"/>
      <c r="O5" s="1"/>
      <c r="P5" s="1"/>
      <c r="Q5" s="1"/>
      <c r="R5" s="1"/>
      <c r="S5" s="1" t="str">
        <f>"COMMENT ON TABLE " &amp; C3 &amp; " IS '" &amp; SUBSTITUTE(B3,"'","''") &amp; "'"</f>
        <v>COMMENT ON TABLE MATERAL_ADJUST IS '원료 대체 조정'</v>
      </c>
    </row>
    <row r="6" spans="1:19" x14ac:dyDescent="0.3">
      <c r="A6" s="2" t="s">
        <v>122</v>
      </c>
      <c r="B6" s="2" t="s">
        <v>35</v>
      </c>
      <c r="C6" s="2" t="s">
        <v>528</v>
      </c>
      <c r="D6" s="2"/>
      <c r="E6" s="2" t="s">
        <v>618</v>
      </c>
      <c r="F6" s="2">
        <v>10</v>
      </c>
      <c r="G6" s="2" t="s">
        <v>90</v>
      </c>
      <c r="H6" s="2"/>
      <c r="I6" s="1"/>
      <c r="J6" s="1" t="str">
        <f>""&amp;C6&amp;""</f>
        <v>PLANT_CODE</v>
      </c>
      <c r="K6" s="1" t="str">
        <f>""&amp;E6&amp;""</f>
        <v>NVARCHAR2</v>
      </c>
      <c r="L6" s="1" t="str">
        <f>IF(F6="","","(")</f>
        <v>(</v>
      </c>
      <c r="M6" s="1">
        <f>IF(F6="","",F6)</f>
        <v>10</v>
      </c>
      <c r="N6" s="1" t="str">
        <f>IF(F6="","",")")</f>
        <v>)</v>
      </c>
      <c r="O6" s="1" t="str">
        <f>IF(G6="N","NOT NULL","NULL")</f>
        <v>NOT NULL</v>
      </c>
      <c r="P6" s="1" t="str">
        <f>IF(H6&lt;&gt;"","DEFAULT "&amp;H6,"")</f>
        <v/>
      </c>
      <c r="Q6" s="1" t="s">
        <v>113</v>
      </c>
      <c r="S6" s="1" t="str">
        <f>"COMMENT ON COLUMN " &amp; C3 &amp; "." &amp; C6 &amp; " IS '" &amp; B6 &amp; "'"</f>
        <v>COMMENT ON COLUMN MATERAL_ADJUST.PLANT_CODE IS '고객사코드'</v>
      </c>
    </row>
    <row r="7" spans="1:19" x14ac:dyDescent="0.3">
      <c r="A7" s="2" t="s">
        <v>122</v>
      </c>
      <c r="B7" s="12" t="s">
        <v>624</v>
      </c>
      <c r="C7" s="12" t="s">
        <v>623</v>
      </c>
      <c r="D7" s="2"/>
      <c r="E7" s="2" t="s">
        <v>618</v>
      </c>
      <c r="F7" s="2">
        <v>20</v>
      </c>
      <c r="G7" s="2" t="s">
        <v>90</v>
      </c>
      <c r="H7" s="12"/>
      <c r="I7" s="1"/>
      <c r="J7" s="1" t="str">
        <f t="shared" ref="J7:J13" si="0">""&amp;C7&amp;""</f>
        <v>MATERIAL_CODE</v>
      </c>
      <c r="K7" s="1" t="str">
        <f t="shared" ref="K7:K13" si="1">""&amp;E7&amp;""</f>
        <v>NVARCHAR2</v>
      </c>
      <c r="L7" s="1" t="str">
        <f t="shared" ref="L7:L17" si="2">IF(F7="","","(")</f>
        <v>(</v>
      </c>
      <c r="M7" s="1">
        <f t="shared" ref="M7:M17" si="3">IF(F7="","",F7)</f>
        <v>20</v>
      </c>
      <c r="N7" s="1" t="str">
        <f t="shared" ref="N7:N17" si="4">IF(F7="","",")")</f>
        <v>)</v>
      </c>
      <c r="O7" s="1" t="str">
        <f t="shared" ref="O7:O17" si="5">IF(G7="N","NOT NULL","NULL")</f>
        <v>NOT NULL</v>
      </c>
      <c r="P7" s="1" t="str">
        <f t="shared" ref="P7:P17" si="6">IF(H7&lt;&gt;"","DEFAULT "&amp;H7,"")</f>
        <v/>
      </c>
      <c r="Q7" s="1" t="s">
        <v>113</v>
      </c>
      <c r="R7" s="1"/>
      <c r="S7" s="1" t="str">
        <f>"COMMENT ON COLUMN " &amp; C3 &amp; "." &amp; C7 &amp; " IS '" &amp; B7 &amp; "'"</f>
        <v>COMMENT ON COLUMN MATERAL_ADJUST.MATERIAL_CODE IS '자재코드'</v>
      </c>
    </row>
    <row r="8" spans="1:19" ht="66" x14ac:dyDescent="0.3">
      <c r="A8" s="2"/>
      <c r="B8" s="12" t="s">
        <v>709</v>
      </c>
      <c r="C8" s="12" t="s">
        <v>710</v>
      </c>
      <c r="D8" s="20" t="s">
        <v>727</v>
      </c>
      <c r="E8" s="2" t="s">
        <v>618</v>
      </c>
      <c r="F8" s="2">
        <v>20</v>
      </c>
      <c r="G8" s="2" t="s">
        <v>90</v>
      </c>
      <c r="H8" s="12"/>
      <c r="I8" s="1"/>
      <c r="J8" s="1" t="str">
        <f>""&amp;C8&amp;""</f>
        <v>ADJUST_TYPE</v>
      </c>
      <c r="K8" s="1" t="str">
        <f>""&amp;E8&amp;""</f>
        <v>NVARCHAR2</v>
      </c>
      <c r="L8" s="1" t="str">
        <f>IF(F8="","","(")</f>
        <v>(</v>
      </c>
      <c r="M8" s="1">
        <f>IF(F8="","",F8)</f>
        <v>20</v>
      </c>
      <c r="N8" s="1" t="str">
        <f>IF(F8="","",")")</f>
        <v>)</v>
      </c>
      <c r="O8" s="1" t="str">
        <f>IF(G8="N","NOT NULL","NULL")</f>
        <v>NOT NULL</v>
      </c>
      <c r="P8" s="1" t="str">
        <f>IF(H8&lt;&gt;"","DEFAULT "&amp;H8,"")</f>
        <v/>
      </c>
      <c r="Q8" s="1" t="s">
        <v>113</v>
      </c>
      <c r="R8" s="1"/>
      <c r="S8" s="1" t="str">
        <f>"COMMENT ON COLUMN " &amp; C2 &amp; "." &amp; C8 &amp; " IS '" &amp; B8 &amp; "'"</f>
        <v>COMMENT ON COLUMN 영문.ADJUST_TYPE IS '조정 유형'</v>
      </c>
    </row>
    <row r="9" spans="1:19" x14ac:dyDescent="0.3">
      <c r="A9" s="2"/>
      <c r="B9" s="12" t="s">
        <v>706</v>
      </c>
      <c r="C9" s="12" t="s">
        <v>728</v>
      </c>
      <c r="D9" s="12" t="s">
        <v>716</v>
      </c>
      <c r="E9" s="2" t="s">
        <v>618</v>
      </c>
      <c r="F9" s="2">
        <v>100</v>
      </c>
      <c r="G9" s="2" t="s">
        <v>90</v>
      </c>
      <c r="H9" s="12"/>
      <c r="I9" s="1"/>
      <c r="J9" s="1" t="str">
        <f t="shared" si="0"/>
        <v>BASE_MIX_MATERIAL_CODE</v>
      </c>
      <c r="K9" s="1" t="str">
        <f t="shared" si="1"/>
        <v>NVARCHAR2</v>
      </c>
      <c r="L9" s="1" t="str">
        <f t="shared" si="2"/>
        <v>(</v>
      </c>
      <c r="M9" s="1">
        <f t="shared" si="3"/>
        <v>100</v>
      </c>
      <c r="N9" s="1" t="str">
        <f t="shared" si="4"/>
        <v>)</v>
      </c>
      <c r="O9" s="1" t="str">
        <f t="shared" si="5"/>
        <v>NOT NULL</v>
      </c>
      <c r="P9" s="1" t="str">
        <f t="shared" si="6"/>
        <v/>
      </c>
      <c r="Q9" s="1" t="s">
        <v>113</v>
      </c>
      <c r="R9" s="1"/>
      <c r="S9" s="1" t="str">
        <f>"COMMENT ON COLUMN " &amp; C3 &amp; "." &amp; C9 &amp; " IS '" &amp; B9 &amp; "'"</f>
        <v>COMMENT ON COLUMN MATERAL_ADJUST.BASE_MIX_MATERIAL_CODE IS '기준원료'</v>
      </c>
    </row>
    <row r="10" spans="1:19" x14ac:dyDescent="0.3">
      <c r="A10" s="2"/>
      <c r="B10" s="12" t="s">
        <v>707</v>
      </c>
      <c r="C10" s="12" t="s">
        <v>729</v>
      </c>
      <c r="D10" s="2"/>
      <c r="E10" s="2" t="s">
        <v>618</v>
      </c>
      <c r="F10" s="2">
        <v>3</v>
      </c>
      <c r="G10" s="12" t="s">
        <v>564</v>
      </c>
      <c r="H10" s="12"/>
      <c r="I10" s="1"/>
      <c r="J10" s="1" t="str">
        <f t="shared" si="0"/>
        <v>MIX_MATERIAL_CODE</v>
      </c>
      <c r="K10" s="1" t="str">
        <f t="shared" si="1"/>
        <v>NVARCHAR2</v>
      </c>
      <c r="L10" s="1" t="str">
        <f t="shared" si="2"/>
        <v>(</v>
      </c>
      <c r="M10" s="1">
        <f t="shared" si="3"/>
        <v>3</v>
      </c>
      <c r="N10" s="1" t="str">
        <f t="shared" si="4"/>
        <v>)</v>
      </c>
      <c r="O10" s="1" t="str">
        <f t="shared" si="5"/>
        <v>NOT NULL</v>
      </c>
      <c r="P10" s="1" t="str">
        <f t="shared" si="6"/>
        <v/>
      </c>
      <c r="Q10" s="1" t="s">
        <v>113</v>
      </c>
      <c r="R10" s="1"/>
      <c r="S10" s="1" t="str">
        <f>"COMMENT ON COLUMN " &amp; C3 &amp; "." &amp; C10 &amp; " IS '" &amp; B10 &amp; "'"</f>
        <v>COMMENT ON COLUMN MATERAL_ADJUST.MIX_MATERIAL_CODE IS '대체원료'</v>
      </c>
    </row>
    <row r="11" spans="1:19" x14ac:dyDescent="0.3">
      <c r="A11" s="2"/>
      <c r="B11" s="12" t="s">
        <v>705</v>
      </c>
      <c r="C11" s="12" t="s">
        <v>708</v>
      </c>
      <c r="D11" s="2"/>
      <c r="E11" s="12" t="s">
        <v>619</v>
      </c>
      <c r="F11" s="2">
        <v>20</v>
      </c>
      <c r="G11" s="2" t="s">
        <v>122</v>
      </c>
      <c r="H11" s="12"/>
      <c r="I11" s="1"/>
      <c r="J11" s="1" t="str">
        <f t="shared" si="0"/>
        <v>SUB_RATIO</v>
      </c>
      <c r="K11" s="1" t="str">
        <f t="shared" si="1"/>
        <v>NVARCHAR2</v>
      </c>
      <c r="L11" s="1" t="str">
        <f t="shared" si="2"/>
        <v>(</v>
      </c>
      <c r="M11" s="1">
        <f t="shared" si="3"/>
        <v>20</v>
      </c>
      <c r="N11" s="1" t="str">
        <f t="shared" si="4"/>
        <v>)</v>
      </c>
      <c r="O11" s="1" t="str">
        <f t="shared" si="5"/>
        <v>NULL</v>
      </c>
      <c r="P11" s="1" t="str">
        <f t="shared" si="6"/>
        <v/>
      </c>
      <c r="Q11" s="1" t="s">
        <v>113</v>
      </c>
      <c r="R11" s="1"/>
      <c r="S11" s="1" t="str">
        <f>"COMMENT ON COLUMN " &amp; C3 &amp; "." &amp; C11 &amp; " IS '" &amp; B11 &amp; "'"</f>
        <v>COMMENT ON COLUMN MATERAL_ADJUST.SUB_RATIO IS '대체 비율'</v>
      </c>
    </row>
    <row r="12" spans="1:19" x14ac:dyDescent="0.3">
      <c r="A12" s="2"/>
      <c r="B12" s="12" t="s">
        <v>714</v>
      </c>
      <c r="C12" s="12" t="s">
        <v>715</v>
      </c>
      <c r="D12" s="2"/>
      <c r="E12" s="12" t="s">
        <v>619</v>
      </c>
      <c r="F12" s="2">
        <v>200</v>
      </c>
      <c r="G12" s="2" t="s">
        <v>122</v>
      </c>
      <c r="H12" s="12"/>
      <c r="I12" s="1"/>
      <c r="J12" s="1" t="str">
        <f>""&amp;C12&amp;""</f>
        <v>REASON</v>
      </c>
      <c r="K12" s="1" t="str">
        <f>""&amp;E12&amp;""</f>
        <v>NVARCHAR2</v>
      </c>
      <c r="L12" s="1" t="str">
        <f>IF(F12="","","(")</f>
        <v>(</v>
      </c>
      <c r="M12" s="1">
        <f>IF(F12="","",F12)</f>
        <v>200</v>
      </c>
      <c r="N12" s="1" t="str">
        <f>IF(F12="","",")")</f>
        <v>)</v>
      </c>
      <c r="O12" s="1" t="str">
        <f>IF(G12="N","NOT NULL","NULL")</f>
        <v>NULL</v>
      </c>
      <c r="P12" s="1" t="str">
        <f>IF(H12&lt;&gt;"","DEFAULT "&amp;H12,"")</f>
        <v/>
      </c>
      <c r="Q12" s="1" t="s">
        <v>113</v>
      </c>
      <c r="R12" s="1"/>
      <c r="S12" s="1" t="str">
        <f>"COMMENT ON COLUMN " &amp; C2 &amp; "." &amp; C12 &amp; " IS '" &amp; B12 &amp; "'"</f>
        <v>COMMENT ON COLUMN 영문.REASON IS '사유'</v>
      </c>
    </row>
    <row r="13" spans="1:19" x14ac:dyDescent="0.3">
      <c r="A13" s="2"/>
      <c r="B13" s="12" t="s">
        <v>534</v>
      </c>
      <c r="C13" s="12" t="s">
        <v>217</v>
      </c>
      <c r="D13" s="2"/>
      <c r="E13" s="12" t="s">
        <v>563</v>
      </c>
      <c r="F13" s="2">
        <v>1</v>
      </c>
      <c r="G13" s="2" t="s">
        <v>122</v>
      </c>
      <c r="H13" s="12"/>
      <c r="I13" s="1"/>
      <c r="J13" s="1" t="str">
        <f t="shared" si="0"/>
        <v>USEFLAG</v>
      </c>
      <c r="K13" s="1" t="str">
        <f t="shared" si="1"/>
        <v>CHAR</v>
      </c>
      <c r="L13" s="1" t="str">
        <f t="shared" si="2"/>
        <v>(</v>
      </c>
      <c r="M13" s="1">
        <f t="shared" si="3"/>
        <v>1</v>
      </c>
      <c r="N13" s="1" t="str">
        <f t="shared" si="4"/>
        <v>)</v>
      </c>
      <c r="O13" s="1" t="str">
        <f t="shared" si="5"/>
        <v>NULL</v>
      </c>
      <c r="P13" s="1" t="str">
        <f t="shared" si="6"/>
        <v/>
      </c>
      <c r="Q13" s="1" t="s">
        <v>113</v>
      </c>
      <c r="R13" s="1"/>
      <c r="S13" s="1" t="str">
        <f>"COMMENT ON COLUMN " &amp; C3 &amp; "." &amp; C13 &amp; " IS '" &amp; B13 &amp; "'"</f>
        <v>COMMENT ON COLUMN MATERAL_ADJUST.USEFLAG IS '사용여부'</v>
      </c>
    </row>
    <row r="14" spans="1:19" x14ac:dyDescent="0.3">
      <c r="A14" s="2"/>
      <c r="B14" s="2" t="s">
        <v>111</v>
      </c>
      <c r="C14" s="2" t="s">
        <v>790</v>
      </c>
      <c r="D14" s="2" t="s">
        <v>188</v>
      </c>
      <c r="E14" s="2" t="s">
        <v>618</v>
      </c>
      <c r="F14" s="2">
        <v>20</v>
      </c>
      <c r="G14" s="2" t="s">
        <v>90</v>
      </c>
      <c r="H14" s="15"/>
      <c r="I14" s="1"/>
      <c r="J14" s="1" t="str">
        <f>""&amp;C14&amp;""</f>
        <v>INITBY</v>
      </c>
      <c r="K14" s="1" t="str">
        <f>""&amp;E14&amp;""</f>
        <v>NVARCHAR2</v>
      </c>
      <c r="L14" s="1" t="str">
        <f t="shared" si="2"/>
        <v>(</v>
      </c>
      <c r="M14" s="1">
        <f t="shared" si="3"/>
        <v>20</v>
      </c>
      <c r="N14" s="1" t="str">
        <f t="shared" si="4"/>
        <v>)</v>
      </c>
      <c r="O14" s="1" t="str">
        <f t="shared" si="5"/>
        <v>NOT NULL</v>
      </c>
      <c r="P14" s="1" t="str">
        <f t="shared" si="6"/>
        <v/>
      </c>
      <c r="Q14" s="1" t="s">
        <v>113</v>
      </c>
      <c r="R14" s="1"/>
      <c r="S14" s="1" t="str">
        <f>"COMMENT ON COLUMN " &amp; C3 &amp; "." &amp; C14 &amp; " IS '" &amp; B14 &amp; "'"</f>
        <v>COMMENT ON COLUMN MATERAL_ADJUST.INITBY IS '입력자'</v>
      </c>
    </row>
    <row r="15" spans="1:19" x14ac:dyDescent="0.3">
      <c r="A15" s="2"/>
      <c r="B15" s="2" t="s">
        <v>254</v>
      </c>
      <c r="C15" s="2" t="s">
        <v>791</v>
      </c>
      <c r="D15" s="2" t="s">
        <v>254</v>
      </c>
      <c r="E15" s="2" t="s">
        <v>228</v>
      </c>
      <c r="F15" s="2"/>
      <c r="G15" s="2" t="s">
        <v>90</v>
      </c>
      <c r="H15" s="12" t="s">
        <v>570</v>
      </c>
      <c r="I15" s="1"/>
      <c r="J15" s="1" t="str">
        <f>""&amp;C15&amp;""</f>
        <v>INITDTTM</v>
      </c>
      <c r="K15" s="1" t="str">
        <f>""&amp;E15&amp;""</f>
        <v>DATE</v>
      </c>
      <c r="L15" s="1" t="str">
        <f t="shared" si="2"/>
        <v/>
      </c>
      <c r="M15" s="1" t="str">
        <f t="shared" si="3"/>
        <v/>
      </c>
      <c r="N15" s="1" t="str">
        <f t="shared" si="4"/>
        <v/>
      </c>
      <c r="O15" s="1" t="str">
        <f t="shared" si="5"/>
        <v>NOT NULL</v>
      </c>
      <c r="P15" s="1" t="str">
        <f t="shared" si="6"/>
        <v>DEFAULT SYSDATE</v>
      </c>
      <c r="Q15" s="1" t="s">
        <v>113</v>
      </c>
      <c r="R15" s="1"/>
      <c r="S15" s="1" t="str">
        <f>"COMMENT ON COLUMN " &amp; C3 &amp; "." &amp; C15 &amp; " IS '" &amp; B15 &amp; "'"</f>
        <v>COMMENT ON COLUMN MATERAL_ADJUST.INITDTTM IS '입력일시'</v>
      </c>
    </row>
    <row r="16" spans="1:19" x14ac:dyDescent="0.3">
      <c r="A16" s="2"/>
      <c r="B16" s="2" t="s">
        <v>99</v>
      </c>
      <c r="C16" s="2" t="s">
        <v>793</v>
      </c>
      <c r="D16" s="2" t="s">
        <v>197</v>
      </c>
      <c r="E16" s="2" t="s">
        <v>618</v>
      </c>
      <c r="F16" s="2">
        <v>20</v>
      </c>
      <c r="G16" s="2" t="s">
        <v>122</v>
      </c>
      <c r="H16" s="15"/>
      <c r="I16" s="1"/>
      <c r="J16" s="1" t="str">
        <f>""&amp;C16&amp;""</f>
        <v>UPBY</v>
      </c>
      <c r="K16" s="1" t="str">
        <f>""&amp;E16&amp;""</f>
        <v>NVARCHAR2</v>
      </c>
      <c r="L16" s="1" t="str">
        <f t="shared" si="2"/>
        <v>(</v>
      </c>
      <c r="M16" s="1">
        <f t="shared" si="3"/>
        <v>20</v>
      </c>
      <c r="N16" s="1" t="str">
        <f t="shared" si="4"/>
        <v>)</v>
      </c>
      <c r="O16" s="1" t="str">
        <f t="shared" si="5"/>
        <v>NULL</v>
      </c>
      <c r="P16" s="1" t="str">
        <f t="shared" si="6"/>
        <v/>
      </c>
      <c r="Q16" s="1" t="s">
        <v>113</v>
      </c>
      <c r="R16" s="1"/>
      <c r="S16" s="1" t="str">
        <f>"COMMENT ON COLUMN " &amp; C3 &amp; "." &amp; C16 &amp; " IS '" &amp; B16 &amp; "'"</f>
        <v>COMMENT ON COLUMN MATERAL_ADJUST.UPBY IS '수정자'</v>
      </c>
    </row>
    <row r="17" spans="1:19" x14ac:dyDescent="0.3">
      <c r="A17" s="2"/>
      <c r="B17" s="2" t="s">
        <v>259</v>
      </c>
      <c r="C17" s="2" t="s">
        <v>792</v>
      </c>
      <c r="D17" s="2" t="s">
        <v>259</v>
      </c>
      <c r="E17" s="2" t="s">
        <v>228</v>
      </c>
      <c r="F17" s="2"/>
      <c r="G17" s="2" t="s">
        <v>122</v>
      </c>
      <c r="H17" s="12"/>
      <c r="I17" s="1"/>
      <c r="J17" s="1" t="str">
        <f>""&amp;C17&amp;""</f>
        <v>UPDTTM</v>
      </c>
      <c r="K17" s="1" t="str">
        <f>""&amp;E17&amp;""</f>
        <v>DATE</v>
      </c>
      <c r="L17" s="1" t="str">
        <f t="shared" si="2"/>
        <v/>
      </c>
      <c r="M17" s="1" t="str">
        <f t="shared" si="3"/>
        <v/>
      </c>
      <c r="N17" s="1" t="str">
        <f t="shared" si="4"/>
        <v/>
      </c>
      <c r="O17" s="1" t="str">
        <f t="shared" si="5"/>
        <v>NULL</v>
      </c>
      <c r="P17" s="1" t="str">
        <f t="shared" si="6"/>
        <v/>
      </c>
      <c r="Q17" s="21" t="s">
        <v>723</v>
      </c>
      <c r="R17" s="1"/>
      <c r="S17" s="1" t="str">
        <f>"COMMENT ON COLUMN " &amp; C3 &amp; "." &amp; C17 &amp; " IS '" &amp; B17 &amp; "'"</f>
        <v>COMMENT ON COLUMN MATERAL_ADJUST.UPDTTM IS '수정일시'</v>
      </c>
    </row>
    <row r="18" spans="1:19" x14ac:dyDescent="0.3">
      <c r="J18" s="13" t="str">
        <f>"ALTER TABLE "&amp;C3&amp;""</f>
        <v>ALTER TABLE MATERAL_ADJUST</v>
      </c>
    </row>
    <row r="19" spans="1:19" x14ac:dyDescent="0.3">
      <c r="J19" s="13" t="str" cm="1">
        <f t="array" ref="J19">"ADD CONSTRAINT PK_"&amp;C3&amp;" PRIMARY KEY (" &amp; _xlfn.TEXTJOIN(", ", TRUE, _xlfn._xlws.FILTER(C6:C62, A6:A62="Y")) &amp; ")"</f>
        <v>ADD CONSTRAINT PK_MATERAL_ADJUST PRIMARY KEY (PLANT_CODE, MATERIAL_CODE)</v>
      </c>
    </row>
  </sheetData>
  <phoneticPr fontId="7" type="noConversion"/>
  <hyperlinks>
    <hyperlink ref="A1" location="리스트!A1" display="리스트로 이동" xr:uid="{2AF3041B-E9C8-433B-B39F-11A2BC89EAA7}"/>
  </hyperlinks>
  <pageMargins left="0.74805557727813721" right="0.74805557727813721" top="0.98430556058883667" bottom="0.98430556058883667" header="0.51166665554046631" footer="0.51166665554046631"/>
  <pageSetup paperSize="9" fitToWidth="0" fitToHeight="0" orientation="portrait" horizontalDpi="0" verticalDpi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EC344-50AC-4CE3-BCEC-46CCABB0540C}">
  <dimension ref="A1:X18"/>
  <sheetViews>
    <sheetView topLeftCell="E1" zoomScaleNormal="100" zoomScaleSheetLayoutView="100" workbookViewId="0">
      <selection activeCell="Q32" sqref="Q32"/>
    </sheetView>
  </sheetViews>
  <sheetFormatPr defaultColWidth="9" defaultRowHeight="16.5" x14ac:dyDescent="0.3"/>
  <cols>
    <col min="1" max="1" width="8.625" bestFit="1" customWidth="1"/>
    <col min="2" max="2" width="13.75" bestFit="1" customWidth="1"/>
    <col min="3" max="3" width="14.125" bestFit="1" customWidth="1"/>
    <col min="4" max="4" width="19.375" bestFit="1" customWidth="1"/>
    <col min="5" max="5" width="12.75" bestFit="1" customWidth="1"/>
    <col min="6" max="6" width="6.75" bestFit="1" customWidth="1"/>
    <col min="7" max="7" width="9" bestFit="1" customWidth="1"/>
    <col min="8" max="8" width="9" customWidth="1"/>
    <col min="10" max="11" width="16.875" customWidth="1"/>
    <col min="12" max="12" width="1.625" bestFit="1" customWidth="1"/>
    <col min="13" max="13" width="3.75" customWidth="1"/>
    <col min="14" max="14" width="1.625" bestFit="1" customWidth="1"/>
    <col min="15" max="15" width="18.375" bestFit="1" customWidth="1"/>
    <col min="16" max="17" width="10.125" bestFit="1" customWidth="1"/>
    <col min="18" max="18" width="16.875" customWidth="1"/>
  </cols>
  <sheetData>
    <row r="1" spans="1:24" x14ac:dyDescent="0.3">
      <c r="A1" s="16" t="s">
        <v>615</v>
      </c>
    </row>
    <row r="2" spans="1:24" x14ac:dyDescent="0.3">
      <c r="A2" s="2"/>
      <c r="B2" s="2" t="s">
        <v>116</v>
      </c>
      <c r="C2" s="2" t="s">
        <v>119</v>
      </c>
      <c r="D2" s="2" t="s">
        <v>112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24" x14ac:dyDescent="0.3">
      <c r="A3" s="2"/>
      <c r="B3" s="2" t="s">
        <v>222</v>
      </c>
      <c r="C3" s="14" t="s">
        <v>824</v>
      </c>
      <c r="D3" s="2"/>
      <c r="E3" s="1"/>
      <c r="F3" s="1"/>
      <c r="G3" s="1"/>
      <c r="H3" s="1"/>
      <c r="I3" s="1"/>
      <c r="J3" s="13" t="str">
        <f>"DROP TABLE "&amp;C3&amp;" CASCADE CONSTRAINTS PURGE"</f>
        <v>DROP TABLE MATERIAL CASCADE CONSTRAINTS PURGE</v>
      </c>
      <c r="K3" s="1"/>
      <c r="L3" s="1"/>
      <c r="M3" s="1"/>
      <c r="N3" s="1"/>
      <c r="O3" s="1"/>
      <c r="P3" s="21"/>
      <c r="Q3" s="21" t="s">
        <v>771</v>
      </c>
      <c r="R3" s="1"/>
      <c r="S3" s="1"/>
    </row>
    <row r="4" spans="1:2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24" x14ac:dyDescent="0.3">
      <c r="A5" s="2" t="s">
        <v>88</v>
      </c>
      <c r="B5" s="2" t="s">
        <v>215</v>
      </c>
      <c r="C5" s="2" t="s">
        <v>252</v>
      </c>
      <c r="D5" s="2" t="s">
        <v>169</v>
      </c>
      <c r="E5" s="2" t="s">
        <v>265</v>
      </c>
      <c r="F5" s="2" t="s">
        <v>101</v>
      </c>
      <c r="G5" s="2" t="s">
        <v>205</v>
      </c>
      <c r="H5" s="12" t="s">
        <v>569</v>
      </c>
      <c r="I5" s="1"/>
      <c r="J5" s="1" t="str">
        <f>"CREATE TABLE "&amp;C3&amp;" ("</f>
        <v>CREATE TABLE MATERIAL (</v>
      </c>
      <c r="K5" s="1"/>
      <c r="L5" s="1"/>
      <c r="M5" s="1"/>
      <c r="N5" s="1"/>
      <c r="O5" s="1"/>
      <c r="P5" s="1"/>
      <c r="Q5" s="1"/>
      <c r="R5" s="1"/>
      <c r="S5" s="1" t="str">
        <f>"COMMENT ON TABLE " &amp; C3 &amp; " IS '" &amp; SUBSTITUTE(B3,"'","''") &amp; "'"</f>
        <v>COMMENT ON TABLE MATERIAL IS '원재료관리'</v>
      </c>
      <c r="X5" s="13" t="s">
        <v>771</v>
      </c>
    </row>
    <row r="6" spans="1:24" x14ac:dyDescent="0.3">
      <c r="A6" s="2" t="s">
        <v>122</v>
      </c>
      <c r="B6" s="12" t="s">
        <v>537</v>
      </c>
      <c r="C6" s="12" t="s">
        <v>653</v>
      </c>
      <c r="D6" s="2"/>
      <c r="E6" s="2" t="s">
        <v>618</v>
      </c>
      <c r="F6" s="2">
        <v>20</v>
      </c>
      <c r="G6" s="2" t="s">
        <v>90</v>
      </c>
      <c r="H6" s="12"/>
      <c r="I6" s="1"/>
      <c r="J6" s="1" t="str">
        <f>""&amp;C6&amp;""</f>
        <v>PLANT_CODE</v>
      </c>
      <c r="K6" s="1" t="str">
        <f>""&amp;E6&amp;""</f>
        <v>NVARCHAR2</v>
      </c>
      <c r="L6" s="1" t="str">
        <f>IF(F6="","","(")</f>
        <v>(</v>
      </c>
      <c r="M6" s="1">
        <f>IF(F6="","",F6)</f>
        <v>20</v>
      </c>
      <c r="N6" s="1" t="str">
        <f>IF(F6="","",")")</f>
        <v>)</v>
      </c>
      <c r="O6" s="1" t="str">
        <f t="shared" ref="O6" si="0">IF(H6&lt;&gt;"","DEFAULT "&amp;H6,"")</f>
        <v/>
      </c>
      <c r="P6" s="1" t="str">
        <f>IF(G6="N","NOT NULL","NULL")</f>
        <v>NOT NULL</v>
      </c>
      <c r="Q6" s="1" t="s">
        <v>113</v>
      </c>
      <c r="S6" s="1" t="str">
        <f>"COMMENT ON COLUMN " &amp; C3 &amp; "." &amp; C6 &amp; " IS '" &amp; B6 &amp; "'"</f>
        <v>COMMENT ON COLUMN MATERIAL.PLANT_CODE IS '플랜트'</v>
      </c>
      <c r="X6" s="13" t="s">
        <v>771</v>
      </c>
    </row>
    <row r="7" spans="1:24" x14ac:dyDescent="0.3">
      <c r="A7" s="2" t="s">
        <v>122</v>
      </c>
      <c r="B7" s="12" t="s">
        <v>640</v>
      </c>
      <c r="C7" s="12" t="s">
        <v>623</v>
      </c>
      <c r="D7" s="2"/>
      <c r="E7" s="2" t="s">
        <v>618</v>
      </c>
      <c r="F7" s="2">
        <v>20</v>
      </c>
      <c r="G7" s="2" t="s">
        <v>90</v>
      </c>
      <c r="H7" s="12"/>
      <c r="I7" s="1"/>
      <c r="J7" s="1" t="str">
        <f>""&amp;C7&amp;""</f>
        <v>MATERIAL_CODE</v>
      </c>
      <c r="K7" s="1" t="str">
        <f>""&amp;E7&amp;""</f>
        <v>NVARCHAR2</v>
      </c>
      <c r="L7" s="1" t="str">
        <f>IF(F7="","","(")</f>
        <v>(</v>
      </c>
      <c r="M7" s="1">
        <f>IF(F7="","",F7)</f>
        <v>20</v>
      </c>
      <c r="N7" s="1" t="str">
        <f>IF(F7="","",")")</f>
        <v>)</v>
      </c>
      <c r="O7" s="1" t="str">
        <f t="shared" ref="O7:O16" si="1">IF(H7&lt;&gt;"","DEFAULT "&amp;H7,"")</f>
        <v/>
      </c>
      <c r="P7" s="1" t="str">
        <f>IF(G7="N","NOT NULL","NULL")</f>
        <v>NOT NULL</v>
      </c>
      <c r="Q7" s="1" t="s">
        <v>113</v>
      </c>
      <c r="S7" s="1" t="str">
        <f>"COMMENT ON COLUMN " &amp; C3 &amp; "." &amp; C7 &amp; " IS '" &amp; B7 &amp; "'"</f>
        <v>COMMENT ON COLUMN MATERIAL.MATERIAL_CODE IS '원료코드'</v>
      </c>
      <c r="X7" s="13" t="s">
        <v>771</v>
      </c>
    </row>
    <row r="8" spans="1:24" x14ac:dyDescent="0.3">
      <c r="A8" s="2"/>
      <c r="B8" s="2" t="s">
        <v>106</v>
      </c>
      <c r="C8" s="12" t="s">
        <v>823</v>
      </c>
      <c r="D8" s="2"/>
      <c r="E8" s="2" t="s">
        <v>618</v>
      </c>
      <c r="F8" s="2">
        <v>50</v>
      </c>
      <c r="G8" s="2" t="s">
        <v>90</v>
      </c>
      <c r="H8" s="12"/>
      <c r="I8" s="1"/>
      <c r="J8" s="1" t="str">
        <f t="shared" ref="J8:J16" si="2">""&amp;C8&amp;""</f>
        <v>MATERIAL_NAME</v>
      </c>
      <c r="K8" s="1" t="str">
        <f t="shared" ref="K8:K16" si="3">""&amp;E8&amp;""</f>
        <v>NVARCHAR2</v>
      </c>
      <c r="L8" s="1" t="str">
        <f t="shared" ref="L8:L16" si="4">IF(F8="","","(")</f>
        <v>(</v>
      </c>
      <c r="M8" s="1">
        <f t="shared" ref="M8:M16" si="5">IF(F8="","",F8)</f>
        <v>50</v>
      </c>
      <c r="N8" s="1" t="str">
        <f t="shared" ref="N8:N16" si="6">IF(F8="","",")")</f>
        <v>)</v>
      </c>
      <c r="O8" s="1" t="str">
        <f t="shared" si="1"/>
        <v/>
      </c>
      <c r="P8" s="1" t="str">
        <f t="shared" ref="P8:P16" si="7">IF(G8="N","NOT NULL","NULL")</f>
        <v>NOT NULL</v>
      </c>
      <c r="Q8" s="1" t="s">
        <v>113</v>
      </c>
      <c r="R8" s="1"/>
      <c r="S8" s="1" t="str">
        <f>"COMMENT ON COLUMN " &amp; C3 &amp; "." &amp; C8 &amp; " IS '" &amp; B8 &amp; "'"</f>
        <v>COMMENT ON COLUMN MATERIAL.MATERIAL_NAME IS '원료명'</v>
      </c>
      <c r="X8" s="13" t="s">
        <v>771</v>
      </c>
    </row>
    <row r="9" spans="1:24" x14ac:dyDescent="0.3">
      <c r="A9" s="2"/>
      <c r="B9" s="12" t="s">
        <v>641</v>
      </c>
      <c r="C9" s="12" t="s">
        <v>643</v>
      </c>
      <c r="D9" s="2"/>
      <c r="E9" s="2" t="s">
        <v>618</v>
      </c>
      <c r="F9" s="2">
        <v>10</v>
      </c>
      <c r="G9" s="2" t="s">
        <v>90</v>
      </c>
      <c r="H9" s="12"/>
      <c r="I9" s="1"/>
      <c r="J9" s="1" t="str">
        <f t="shared" si="2"/>
        <v>WEIGHING_TYPE</v>
      </c>
      <c r="K9" s="1" t="str">
        <f t="shared" si="3"/>
        <v>NVARCHAR2</v>
      </c>
      <c r="L9" s="1" t="str">
        <f t="shared" si="4"/>
        <v>(</v>
      </c>
      <c r="M9" s="1">
        <f t="shared" si="5"/>
        <v>10</v>
      </c>
      <c r="N9" s="1" t="str">
        <f t="shared" si="6"/>
        <v>)</v>
      </c>
      <c r="O9" s="1" t="str">
        <f t="shared" si="1"/>
        <v/>
      </c>
      <c r="P9" s="1" t="str">
        <f t="shared" si="7"/>
        <v>NOT NULL</v>
      </c>
      <c r="Q9" s="1" t="s">
        <v>113</v>
      </c>
      <c r="R9" s="1"/>
      <c r="S9" s="1" t="str">
        <f>"COMMENT ON COLUMN " &amp; C3 &amp; "." &amp; C9 &amp; " IS '" &amp; B9 &amp; "'"</f>
        <v>COMMENT ON COLUMN MATERIAL.WEIGHING_TYPE IS '계근방식'</v>
      </c>
      <c r="X9" s="13" t="s">
        <v>771</v>
      </c>
    </row>
    <row r="10" spans="1:24" x14ac:dyDescent="0.3">
      <c r="A10" s="2"/>
      <c r="B10" s="12" t="s">
        <v>642</v>
      </c>
      <c r="C10" s="12" t="s">
        <v>789</v>
      </c>
      <c r="D10" s="2"/>
      <c r="E10" s="2" t="s">
        <v>618</v>
      </c>
      <c r="F10" s="2">
        <v>10</v>
      </c>
      <c r="G10" s="2" t="s">
        <v>122</v>
      </c>
      <c r="H10" s="12"/>
      <c r="I10" s="1"/>
      <c r="J10" s="1" t="str">
        <f t="shared" ref="J10" si="8">""&amp;C10&amp;""</f>
        <v>MATERIAL_TYPE</v>
      </c>
      <c r="K10" s="1" t="str">
        <f t="shared" ref="K10" si="9">""&amp;E10&amp;""</f>
        <v>NVARCHAR2</v>
      </c>
      <c r="L10" s="1" t="str">
        <f t="shared" ref="L10" si="10">IF(F10="","","(")</f>
        <v>(</v>
      </c>
      <c r="M10" s="1">
        <f t="shared" ref="M10" si="11">IF(F10="","",F10)</f>
        <v>10</v>
      </c>
      <c r="N10" s="1" t="str">
        <f t="shared" ref="N10" si="12">IF(F10="","",")")</f>
        <v>)</v>
      </c>
      <c r="O10" s="1" t="str">
        <f t="shared" ref="O10" si="13">IF(H10&lt;&gt;"","DEFAULT "&amp;H10,"")</f>
        <v/>
      </c>
      <c r="P10" s="1" t="str">
        <f t="shared" ref="P10" si="14">IF(G10="N","NOT NULL","NULL")</f>
        <v>NULL</v>
      </c>
      <c r="Q10" s="1" t="s">
        <v>113</v>
      </c>
      <c r="R10" s="1"/>
      <c r="S10" s="1" t="str">
        <f>"COMMENT ON COLUMN " &amp; C3 &amp; "." &amp; C10 &amp; " IS '" &amp; B10 &amp; "'"</f>
        <v>COMMENT ON COLUMN MATERIAL.MATERIAL_TYPE IS '원료구분'</v>
      </c>
      <c r="X10" s="13" t="s">
        <v>771</v>
      </c>
    </row>
    <row r="11" spans="1:24" x14ac:dyDescent="0.3">
      <c r="A11" s="2"/>
      <c r="B11" s="12" t="s">
        <v>634</v>
      </c>
      <c r="C11" s="12" t="s">
        <v>639</v>
      </c>
      <c r="D11" s="2"/>
      <c r="E11" s="2" t="s">
        <v>618</v>
      </c>
      <c r="F11" s="2">
        <v>200</v>
      </c>
      <c r="G11" s="2" t="s">
        <v>122</v>
      </c>
      <c r="H11" s="12"/>
      <c r="I11" s="1"/>
      <c r="J11" s="1" t="str">
        <f t="shared" si="2"/>
        <v>REMARKS</v>
      </c>
      <c r="K11" s="1" t="str">
        <f t="shared" si="3"/>
        <v>NVARCHAR2</v>
      </c>
      <c r="L11" s="1" t="str">
        <f t="shared" si="4"/>
        <v>(</v>
      </c>
      <c r="M11" s="1">
        <f t="shared" si="5"/>
        <v>200</v>
      </c>
      <c r="N11" s="1" t="str">
        <f t="shared" si="6"/>
        <v>)</v>
      </c>
      <c r="O11" s="1" t="str">
        <f t="shared" si="1"/>
        <v/>
      </c>
      <c r="P11" s="1" t="str">
        <f t="shared" si="7"/>
        <v>NULL</v>
      </c>
      <c r="Q11" s="1" t="s">
        <v>113</v>
      </c>
      <c r="R11" s="1"/>
      <c r="S11" s="1" t="str">
        <f>"COMMENT ON COLUMN " &amp; C3 &amp; "." &amp; C11 &amp; " IS '" &amp; B11 &amp; "'"</f>
        <v>COMMENT ON COLUMN MATERIAL.REMARKS IS '메모'</v>
      </c>
      <c r="X11" s="13" t="s">
        <v>771</v>
      </c>
    </row>
    <row r="12" spans="1:24" x14ac:dyDescent="0.3">
      <c r="A12" s="2"/>
      <c r="B12" s="2" t="s">
        <v>210</v>
      </c>
      <c r="C12" s="12" t="s">
        <v>795</v>
      </c>
      <c r="D12" s="2"/>
      <c r="E12" s="2" t="s">
        <v>249</v>
      </c>
      <c r="F12" s="2">
        <v>1</v>
      </c>
      <c r="G12" s="2" t="s">
        <v>122</v>
      </c>
      <c r="H12" s="15" t="s">
        <v>609</v>
      </c>
      <c r="I12" s="1"/>
      <c r="J12" s="1" t="str">
        <f t="shared" si="2"/>
        <v>USEFLAG</v>
      </c>
      <c r="K12" s="1" t="str">
        <f t="shared" si="3"/>
        <v>CHAR</v>
      </c>
      <c r="L12" s="1" t="str">
        <f t="shared" si="4"/>
        <v>(</v>
      </c>
      <c r="M12" s="1">
        <f t="shared" si="5"/>
        <v>1</v>
      </c>
      <c r="N12" s="1" t="str">
        <f t="shared" si="6"/>
        <v>)</v>
      </c>
      <c r="O12" s="1" t="str">
        <f t="shared" si="1"/>
        <v>DEFAULT 'Y'</v>
      </c>
      <c r="P12" s="1" t="str">
        <f t="shared" si="7"/>
        <v>NULL</v>
      </c>
      <c r="Q12" s="1" t="s">
        <v>113</v>
      </c>
      <c r="R12" s="1"/>
      <c r="S12" s="1" t="str">
        <f>"COMMENT ON COLUMN " &amp; C3 &amp; "." &amp; C12 &amp; " IS '" &amp; B12 &amp; "'"</f>
        <v>COMMENT ON COLUMN MATERIAL.USEFLAG IS '사용여부'</v>
      </c>
      <c r="X12" s="13" t="s">
        <v>771</v>
      </c>
    </row>
    <row r="13" spans="1:24" x14ac:dyDescent="0.3">
      <c r="A13" s="2"/>
      <c r="B13" s="2" t="s">
        <v>111</v>
      </c>
      <c r="C13" s="2" t="s">
        <v>790</v>
      </c>
      <c r="D13" s="2" t="s">
        <v>188</v>
      </c>
      <c r="E13" s="2" t="s">
        <v>618</v>
      </c>
      <c r="F13" s="2">
        <v>20</v>
      </c>
      <c r="G13" s="2" t="s">
        <v>90</v>
      </c>
      <c r="H13" s="15"/>
      <c r="I13" s="1"/>
      <c r="J13" s="1" t="str">
        <f t="shared" si="2"/>
        <v>INITBY</v>
      </c>
      <c r="K13" s="1" t="str">
        <f t="shared" si="3"/>
        <v>NVARCHAR2</v>
      </c>
      <c r="L13" s="1" t="str">
        <f t="shared" si="4"/>
        <v>(</v>
      </c>
      <c r="M13" s="1">
        <f t="shared" si="5"/>
        <v>20</v>
      </c>
      <c r="N13" s="1" t="str">
        <f t="shared" si="6"/>
        <v>)</v>
      </c>
      <c r="O13" s="1" t="str">
        <f t="shared" si="1"/>
        <v/>
      </c>
      <c r="P13" s="1" t="str">
        <f t="shared" si="7"/>
        <v>NOT NULL</v>
      </c>
      <c r="Q13" s="1" t="s">
        <v>113</v>
      </c>
      <c r="R13" s="1"/>
      <c r="S13" s="1" t="str">
        <f>"COMMENT ON COLUMN " &amp; C3 &amp; "." &amp; C13 &amp; " IS '" &amp; B13 &amp; "'"</f>
        <v>COMMENT ON COLUMN MATERIAL.INITBY IS '입력자'</v>
      </c>
      <c r="X13" s="13" t="s">
        <v>771</v>
      </c>
    </row>
    <row r="14" spans="1:24" x14ac:dyDescent="0.3">
      <c r="A14" s="2"/>
      <c r="B14" s="2" t="s">
        <v>254</v>
      </c>
      <c r="C14" s="2" t="s">
        <v>791</v>
      </c>
      <c r="D14" s="2" t="s">
        <v>254</v>
      </c>
      <c r="E14" s="2" t="s">
        <v>228</v>
      </c>
      <c r="F14" s="2"/>
      <c r="G14" s="2" t="s">
        <v>90</v>
      </c>
      <c r="H14" s="12" t="s">
        <v>570</v>
      </c>
      <c r="I14" s="1"/>
      <c r="J14" s="1" t="str">
        <f t="shared" si="2"/>
        <v>INITDTTM</v>
      </c>
      <c r="K14" s="1" t="str">
        <f t="shared" si="3"/>
        <v>DATE</v>
      </c>
      <c r="L14" s="1" t="str">
        <f t="shared" si="4"/>
        <v/>
      </c>
      <c r="M14" s="1" t="str">
        <f t="shared" si="5"/>
        <v/>
      </c>
      <c r="N14" s="1" t="str">
        <f t="shared" si="6"/>
        <v/>
      </c>
      <c r="O14" s="1" t="str">
        <f t="shared" si="1"/>
        <v>DEFAULT SYSDATE</v>
      </c>
      <c r="P14" s="1" t="str">
        <f t="shared" si="7"/>
        <v>NOT NULL</v>
      </c>
      <c r="Q14" s="1" t="s">
        <v>113</v>
      </c>
      <c r="R14" s="1"/>
      <c r="S14" s="1" t="str">
        <f>"COMMENT ON COLUMN " &amp; C3 &amp; "." &amp; C14 &amp; " IS '" &amp; B14 &amp; "'"</f>
        <v>COMMENT ON COLUMN MATERIAL.INITDTTM IS '입력일시'</v>
      </c>
      <c r="X14" s="13" t="s">
        <v>771</v>
      </c>
    </row>
    <row r="15" spans="1:24" x14ac:dyDescent="0.3">
      <c r="A15" s="2"/>
      <c r="B15" s="2" t="s">
        <v>99</v>
      </c>
      <c r="C15" s="2" t="s">
        <v>793</v>
      </c>
      <c r="D15" s="2" t="s">
        <v>197</v>
      </c>
      <c r="E15" s="2" t="s">
        <v>618</v>
      </c>
      <c r="F15" s="2">
        <v>20</v>
      </c>
      <c r="G15" s="2" t="s">
        <v>122</v>
      </c>
      <c r="H15" s="15"/>
      <c r="I15" s="1"/>
      <c r="J15" s="1" t="str">
        <f t="shared" si="2"/>
        <v>UPBY</v>
      </c>
      <c r="K15" s="1" t="str">
        <f t="shared" si="3"/>
        <v>NVARCHAR2</v>
      </c>
      <c r="L15" s="1" t="str">
        <f t="shared" si="4"/>
        <v>(</v>
      </c>
      <c r="M15" s="1">
        <f t="shared" si="5"/>
        <v>20</v>
      </c>
      <c r="N15" s="1" t="str">
        <f t="shared" si="6"/>
        <v>)</v>
      </c>
      <c r="O15" s="1" t="str">
        <f t="shared" si="1"/>
        <v/>
      </c>
      <c r="P15" s="1" t="str">
        <f t="shared" si="7"/>
        <v>NULL</v>
      </c>
      <c r="Q15" s="1" t="s">
        <v>113</v>
      </c>
      <c r="R15" s="1"/>
      <c r="S15" s="1" t="str">
        <f>"COMMENT ON COLUMN " &amp; C3 &amp; "." &amp; C15 &amp; " IS '" &amp; B15 &amp; "'"</f>
        <v>COMMENT ON COLUMN MATERIAL.UPBY IS '수정자'</v>
      </c>
      <c r="X15" s="13" t="s">
        <v>771</v>
      </c>
    </row>
    <row r="16" spans="1:24" x14ac:dyDescent="0.3">
      <c r="A16" s="2"/>
      <c r="B16" s="2" t="s">
        <v>259</v>
      </c>
      <c r="C16" s="2" t="s">
        <v>792</v>
      </c>
      <c r="D16" s="2" t="s">
        <v>259</v>
      </c>
      <c r="E16" s="2" t="s">
        <v>228</v>
      </c>
      <c r="F16" s="2"/>
      <c r="G16" s="2" t="s">
        <v>122</v>
      </c>
      <c r="H16" s="12"/>
      <c r="I16" s="1"/>
      <c r="J16" s="1" t="str">
        <f t="shared" si="2"/>
        <v>UPDTTM</v>
      </c>
      <c r="K16" s="1" t="str">
        <f t="shared" si="3"/>
        <v>DATE</v>
      </c>
      <c r="L16" s="1" t="str">
        <f t="shared" si="4"/>
        <v/>
      </c>
      <c r="M16" s="1" t="str">
        <f t="shared" si="5"/>
        <v/>
      </c>
      <c r="N16" s="1" t="str">
        <f t="shared" si="6"/>
        <v/>
      </c>
      <c r="O16" s="1" t="str">
        <f t="shared" si="1"/>
        <v/>
      </c>
      <c r="P16" s="1" t="str">
        <f t="shared" si="7"/>
        <v>NULL</v>
      </c>
      <c r="Q16" s="21" t="s">
        <v>723</v>
      </c>
      <c r="R16" s="1"/>
      <c r="S16" s="1" t="str">
        <f>"COMMENT ON COLUMN " &amp; C3 &amp; "." &amp; C16 &amp; " IS '" &amp; B16 &amp; "'"</f>
        <v>COMMENT ON COLUMN MATERIAL.UPDTTM IS '수정일시'</v>
      </c>
      <c r="X16" s="13" t="s">
        <v>771</v>
      </c>
    </row>
    <row r="17" spans="10:17" x14ac:dyDescent="0.3">
      <c r="J17" s="13" t="str">
        <f>"ALTER TABLE "&amp;C3&amp;""</f>
        <v>ALTER TABLE MATERIAL</v>
      </c>
    </row>
    <row r="18" spans="10:17" x14ac:dyDescent="0.3">
      <c r="J18" s="13" t="str" cm="1">
        <f t="array" ref="J18">"ADD CONSTRAINT PK_"&amp;C3&amp;" PRIMARY KEY (" &amp; _xlfn.TEXTJOIN(", ", TRUE, _xlfn._xlws.FILTER(C7:C61, A7:A61="Y")) &amp; ")"</f>
        <v>ADD CONSTRAINT PK_MATERIAL PRIMARY KEY (MATERIAL_CODE)</v>
      </c>
      <c r="Q18" s="13" t="s">
        <v>771</v>
      </c>
    </row>
  </sheetData>
  <phoneticPr fontId="7" type="noConversion"/>
  <hyperlinks>
    <hyperlink ref="A1" location="리스트!A1" display="리스트로 이동" xr:uid="{55BBABBD-638D-47B9-9880-3093430375C6}"/>
  </hyperlinks>
  <pageMargins left="0.74805557727813721" right="0.74805557727813721" top="0.98430556058883667" bottom="0.98430556058883667" header="0.51166665554046631" footer="0.51166665554046631"/>
  <pageSetup paperSize="9" fitToWidth="0" fitToHeight="0" orientation="portrait" horizontalDpi="0" verticalDpi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077E9-1DED-4D34-BD82-C62B4E61A95A}">
  <dimension ref="A1:X18"/>
  <sheetViews>
    <sheetView zoomScaleNormal="100" zoomScaleSheetLayoutView="100" workbookViewId="0">
      <selection activeCell="D12" sqref="D12"/>
    </sheetView>
  </sheetViews>
  <sheetFormatPr defaultColWidth="9" defaultRowHeight="16.5" x14ac:dyDescent="0.3"/>
  <cols>
    <col min="1" max="1" width="8.625" bestFit="1" customWidth="1"/>
    <col min="2" max="2" width="13.75" bestFit="1" customWidth="1"/>
    <col min="3" max="3" width="14.125" bestFit="1" customWidth="1"/>
    <col min="4" max="4" width="19.375" bestFit="1" customWidth="1"/>
    <col min="5" max="5" width="12.75" bestFit="1" customWidth="1"/>
    <col min="6" max="6" width="6.75" bestFit="1" customWidth="1"/>
    <col min="7" max="7" width="9" bestFit="1" customWidth="1"/>
    <col min="8" max="8" width="9" customWidth="1"/>
    <col min="10" max="11" width="16.875" customWidth="1"/>
    <col min="12" max="12" width="1.625" bestFit="1" customWidth="1"/>
    <col min="13" max="13" width="3.75" customWidth="1"/>
    <col min="14" max="14" width="1.625" bestFit="1" customWidth="1"/>
    <col min="15" max="15" width="18.375" bestFit="1" customWidth="1"/>
    <col min="16" max="17" width="10.125" bestFit="1" customWidth="1"/>
    <col min="18" max="18" width="16.875" customWidth="1"/>
  </cols>
  <sheetData>
    <row r="1" spans="1:24" x14ac:dyDescent="0.3">
      <c r="A1" s="16" t="s">
        <v>615</v>
      </c>
    </row>
    <row r="2" spans="1:24" x14ac:dyDescent="0.3">
      <c r="A2" s="2"/>
      <c r="B2" s="2" t="s">
        <v>116</v>
      </c>
      <c r="C2" s="2" t="s">
        <v>119</v>
      </c>
      <c r="D2" s="2" t="s">
        <v>112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24" x14ac:dyDescent="0.3">
      <c r="A3" s="2"/>
      <c r="B3" s="12" t="s">
        <v>662</v>
      </c>
      <c r="C3" s="12" t="s">
        <v>675</v>
      </c>
      <c r="D3" s="2"/>
      <c r="E3" s="1"/>
      <c r="F3" s="1"/>
      <c r="G3" s="1"/>
      <c r="H3" s="1"/>
      <c r="I3" s="1"/>
      <c r="J3" s="13" t="str">
        <f>"DROP TABLE "&amp;C3&amp;" CASCADE CONSTRAINTS PURGE"</f>
        <v>DROP TABLE MIXING_RECIPE CASCADE CONSTRAINTS PURGE</v>
      </c>
      <c r="K3" s="1"/>
      <c r="L3" s="1"/>
      <c r="M3" s="1"/>
      <c r="N3" s="1"/>
      <c r="O3" s="1"/>
      <c r="P3" s="21"/>
      <c r="Q3" s="21" t="s">
        <v>771</v>
      </c>
      <c r="R3" s="1"/>
      <c r="S3" s="1"/>
    </row>
    <row r="4" spans="1:2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24" x14ac:dyDescent="0.3">
      <c r="A5" s="12" t="s">
        <v>828</v>
      </c>
      <c r="B5" s="2" t="s">
        <v>215</v>
      </c>
      <c r="C5" s="2" t="s">
        <v>252</v>
      </c>
      <c r="D5" s="2" t="s">
        <v>169</v>
      </c>
      <c r="E5" s="2" t="s">
        <v>265</v>
      </c>
      <c r="F5" s="2" t="s">
        <v>101</v>
      </c>
      <c r="G5" s="2" t="s">
        <v>205</v>
      </c>
      <c r="H5" s="12" t="s">
        <v>569</v>
      </c>
      <c r="I5" s="1"/>
      <c r="J5" s="1" t="str">
        <f>"CREATE TABLE "&amp;C3&amp;" ("</f>
        <v>CREATE TABLE MIXING_RECIPE (</v>
      </c>
      <c r="K5" s="1"/>
      <c r="L5" s="1"/>
      <c r="M5" s="1"/>
      <c r="N5" s="1"/>
      <c r="O5" s="1"/>
      <c r="P5" s="1"/>
      <c r="Q5" s="1"/>
      <c r="R5" s="1"/>
      <c r="S5" s="1" t="str">
        <f>"COMMENT ON TABLE " &amp; C3 &amp; " IS '" &amp; SUBSTITUTE(B3,"'","''") &amp; "'"</f>
        <v>COMMENT ON TABLE MIXING_RECIPE IS '배합비 마스터'</v>
      </c>
      <c r="X5" s="13" t="s">
        <v>771</v>
      </c>
    </row>
    <row r="6" spans="1:24" x14ac:dyDescent="0.3">
      <c r="A6" s="12" t="s">
        <v>565</v>
      </c>
      <c r="B6" s="12" t="s">
        <v>538</v>
      </c>
      <c r="C6" s="14" t="s">
        <v>528</v>
      </c>
      <c r="D6" s="12"/>
      <c r="E6" s="12" t="s">
        <v>618</v>
      </c>
      <c r="F6" s="2">
        <v>20</v>
      </c>
      <c r="G6" s="12" t="s">
        <v>564</v>
      </c>
      <c r="H6" s="12"/>
      <c r="I6" s="1"/>
      <c r="J6" s="1" t="str">
        <f>""&amp;C6&amp;""</f>
        <v>PLANT_CODE</v>
      </c>
      <c r="K6" s="1" t="str">
        <f>""&amp;E6&amp;""</f>
        <v>NVARCHAR2</v>
      </c>
      <c r="L6" s="1" t="str">
        <f>IF(F6="","","(")</f>
        <v>(</v>
      </c>
      <c r="M6" s="1">
        <f>IF(F6="","",F6)</f>
        <v>20</v>
      </c>
      <c r="N6" s="1" t="str">
        <f>IF(F6="","",")")</f>
        <v>)</v>
      </c>
      <c r="O6" s="1" t="str">
        <f t="shared" ref="O6:O16" si="0">IF(H6&lt;&gt;"","DEFAULT "&amp;H6,"")</f>
        <v/>
      </c>
      <c r="P6" s="1" t="str">
        <f>IF(G6="N","NOT NULL","NULL")</f>
        <v>NOT NULL</v>
      </c>
      <c r="Q6" s="1" t="s">
        <v>113</v>
      </c>
      <c r="S6" s="1" t="str">
        <f>"COMMENT ON COLUMN " &amp; C3 &amp; "." &amp; C6 &amp; " IS '" &amp; B6 &amp; "'"</f>
        <v>COMMENT ON COLUMN MIXING_RECIPE.PLANT_CODE IS '공장코드'</v>
      </c>
      <c r="X6" s="13" t="s">
        <v>771</v>
      </c>
    </row>
    <row r="7" spans="1:24" x14ac:dyDescent="0.3">
      <c r="A7" s="12" t="s">
        <v>565</v>
      </c>
      <c r="B7" s="12" t="s">
        <v>663</v>
      </c>
      <c r="C7" s="12" t="s">
        <v>819</v>
      </c>
      <c r="D7" s="2"/>
      <c r="E7" s="12" t="s">
        <v>618</v>
      </c>
      <c r="F7" s="12">
        <v>20</v>
      </c>
      <c r="G7" s="12" t="s">
        <v>564</v>
      </c>
      <c r="H7" s="12"/>
      <c r="I7" s="1"/>
      <c r="J7" s="1" t="str">
        <f t="shared" ref="J7:J16" si="1">""&amp;C7&amp;""</f>
        <v>PRODUCT_CODE</v>
      </c>
      <c r="K7" s="1" t="str">
        <f t="shared" ref="K7:K16" si="2">""&amp;E7&amp;""</f>
        <v>NVARCHAR2</v>
      </c>
      <c r="L7" s="1" t="str">
        <f t="shared" ref="L7:L16" si="3">IF(F7="","","(")</f>
        <v>(</v>
      </c>
      <c r="M7" s="1">
        <f t="shared" ref="M7:M16" si="4">IF(F7="","",F7)</f>
        <v>20</v>
      </c>
      <c r="N7" s="1" t="str">
        <f t="shared" ref="N7:N16" si="5">IF(F7="","",")")</f>
        <v>)</v>
      </c>
      <c r="O7" s="1" t="str">
        <f t="shared" si="0"/>
        <v/>
      </c>
      <c r="P7" s="1" t="str">
        <f t="shared" ref="P7:P16" si="6">IF(G7="N","NOT NULL","NULL")</f>
        <v>NOT NULL</v>
      </c>
      <c r="Q7" s="1" t="s">
        <v>113</v>
      </c>
      <c r="R7" s="1"/>
      <c r="S7" s="1" t="str">
        <f>"COMMENT ON COLUMN " &amp; C3 &amp; "." &amp; C7 &amp; " IS '" &amp; B7 &amp; "'"</f>
        <v>COMMENT ON COLUMN MIXING_RECIPE.PRODUCT_CODE IS '제품'</v>
      </c>
      <c r="X7" s="13" t="s">
        <v>771</v>
      </c>
    </row>
    <row r="8" spans="1:24" x14ac:dyDescent="0.3">
      <c r="A8" s="12" t="s">
        <v>565</v>
      </c>
      <c r="B8" s="12" t="s">
        <v>601</v>
      </c>
      <c r="C8" s="12" t="s">
        <v>685</v>
      </c>
      <c r="D8" s="2"/>
      <c r="E8" s="12" t="s">
        <v>618</v>
      </c>
      <c r="F8" s="2">
        <v>20</v>
      </c>
      <c r="G8" s="12" t="s">
        <v>564</v>
      </c>
      <c r="H8" s="12"/>
      <c r="I8" s="1"/>
      <c r="J8" s="1" t="str">
        <f t="shared" si="1"/>
        <v>RECIPE_VER</v>
      </c>
      <c r="K8" s="1" t="str">
        <f t="shared" si="2"/>
        <v>NVARCHAR2</v>
      </c>
      <c r="L8" s="1" t="str">
        <f t="shared" si="3"/>
        <v>(</v>
      </c>
      <c r="M8" s="1">
        <f t="shared" si="4"/>
        <v>20</v>
      </c>
      <c r="N8" s="1" t="str">
        <f t="shared" si="5"/>
        <v>)</v>
      </c>
      <c r="O8" s="1" t="str">
        <f t="shared" si="0"/>
        <v/>
      </c>
      <c r="P8" s="1" t="str">
        <f t="shared" si="6"/>
        <v>NOT NULL</v>
      </c>
      <c r="Q8" s="1" t="s">
        <v>113</v>
      </c>
      <c r="R8" s="1"/>
      <c r="S8" s="1" t="str">
        <f>"COMMENT ON COLUMN " &amp; C3 &amp; "." &amp; C8 &amp; " IS '" &amp; B8 &amp; "'"</f>
        <v>COMMENT ON COLUMN MIXING_RECIPE.RECIPE_VER IS '버전'</v>
      </c>
      <c r="X8" s="13" t="s">
        <v>771</v>
      </c>
    </row>
    <row r="9" spans="1:24" x14ac:dyDescent="0.3">
      <c r="A9" s="2"/>
      <c r="B9" s="12" t="s">
        <v>664</v>
      </c>
      <c r="C9" s="12" t="s">
        <v>666</v>
      </c>
      <c r="D9" s="2"/>
      <c r="E9" s="12" t="s">
        <v>587</v>
      </c>
      <c r="F9" s="2"/>
      <c r="G9" s="12" t="s">
        <v>565</v>
      </c>
      <c r="H9" s="12"/>
      <c r="I9" s="1"/>
      <c r="J9" s="1" t="str">
        <f t="shared" si="1"/>
        <v>VALID_FROM_DATE</v>
      </c>
      <c r="K9" s="1" t="str">
        <f t="shared" si="2"/>
        <v>DATE</v>
      </c>
      <c r="L9" s="1" t="str">
        <f t="shared" si="3"/>
        <v/>
      </c>
      <c r="M9" s="1" t="str">
        <f t="shared" si="4"/>
        <v/>
      </c>
      <c r="N9" s="1" t="str">
        <f t="shared" si="5"/>
        <v/>
      </c>
      <c r="O9" s="1" t="str">
        <f t="shared" si="0"/>
        <v/>
      </c>
      <c r="P9" s="1" t="str">
        <f t="shared" si="6"/>
        <v>NULL</v>
      </c>
      <c r="Q9" s="1" t="s">
        <v>113</v>
      </c>
      <c r="R9" s="1"/>
      <c r="S9" s="1" t="str">
        <f>"COMMENT ON COLUMN " &amp; C3 &amp; "." &amp; C9 &amp; " IS '" &amp; B9 &amp; "'"</f>
        <v>COMMENT ON COLUMN MIXING_RECIPE.VALID_FROM_DATE IS '유효기간시작일'</v>
      </c>
      <c r="X9" s="13" t="s">
        <v>771</v>
      </c>
    </row>
    <row r="10" spans="1:24" x14ac:dyDescent="0.3">
      <c r="A10" s="2"/>
      <c r="B10" s="12" t="s">
        <v>665</v>
      </c>
      <c r="C10" s="12" t="s">
        <v>667</v>
      </c>
      <c r="D10" s="2"/>
      <c r="E10" s="12" t="s">
        <v>587</v>
      </c>
      <c r="F10" s="2"/>
      <c r="G10" s="12" t="s">
        <v>565</v>
      </c>
      <c r="H10" s="12"/>
      <c r="I10" s="1"/>
      <c r="J10" s="1" t="str">
        <f t="shared" si="1"/>
        <v>VALIE_TO_DATE</v>
      </c>
      <c r="K10" s="1" t="str">
        <f t="shared" si="2"/>
        <v>DATE</v>
      </c>
      <c r="L10" s="1" t="str">
        <f t="shared" si="3"/>
        <v/>
      </c>
      <c r="M10" s="1" t="str">
        <f t="shared" si="4"/>
        <v/>
      </c>
      <c r="N10" s="1" t="str">
        <f t="shared" si="5"/>
        <v/>
      </c>
      <c r="O10" s="1" t="str">
        <f t="shared" si="0"/>
        <v/>
      </c>
      <c r="P10" s="1" t="str">
        <f t="shared" si="6"/>
        <v>NULL</v>
      </c>
      <c r="Q10" s="1" t="s">
        <v>113</v>
      </c>
      <c r="R10" s="1"/>
      <c r="S10" s="1" t="str">
        <f>"COMMENT ON COLUMN " &amp; C3 &amp; "." &amp; C10 &amp; " IS '" &amp; B10 &amp; "'"</f>
        <v>COMMENT ON COLUMN MIXING_RECIPE.VALIE_TO_DATE IS '유효기간종료일'</v>
      </c>
      <c r="X10" s="13" t="s">
        <v>771</v>
      </c>
    </row>
    <row r="11" spans="1:24" x14ac:dyDescent="0.3">
      <c r="A11" s="2"/>
      <c r="B11" s="12" t="s">
        <v>825</v>
      </c>
      <c r="C11" s="13" t="s">
        <v>826</v>
      </c>
      <c r="D11" s="12" t="s">
        <v>827</v>
      </c>
      <c r="E11" s="12" t="s">
        <v>618</v>
      </c>
      <c r="F11" s="12">
        <v>10</v>
      </c>
      <c r="G11" s="12" t="s">
        <v>565</v>
      </c>
      <c r="H11" s="12"/>
      <c r="I11" s="1"/>
      <c r="J11" s="1" t="str">
        <f t="shared" ref="J11" si="7">""&amp;C11&amp;""</f>
        <v>MIX_STAGE</v>
      </c>
      <c r="K11" s="1" t="str">
        <f t="shared" ref="K11" si="8">""&amp;E11&amp;""</f>
        <v>NVARCHAR2</v>
      </c>
      <c r="L11" s="1" t="str">
        <f t="shared" ref="L11" si="9">IF(F11="","","(")</f>
        <v>(</v>
      </c>
      <c r="M11" s="1">
        <f t="shared" ref="M11" si="10">IF(F11="","",F11)</f>
        <v>10</v>
      </c>
      <c r="N11" s="1" t="str">
        <f t="shared" ref="N11" si="11">IF(F11="","",")")</f>
        <v>)</v>
      </c>
      <c r="O11" s="1" t="str">
        <f t="shared" ref="O11" si="12">IF(H11&lt;&gt;"","DEFAULT "&amp;H11,"")</f>
        <v/>
      </c>
      <c r="P11" s="1" t="str">
        <f t="shared" ref="P11" si="13">IF(G11="N","NOT NULL","NULL")</f>
        <v>NULL</v>
      </c>
      <c r="Q11" s="1" t="s">
        <v>113</v>
      </c>
      <c r="R11" s="1"/>
      <c r="S11" s="1" t="str">
        <f>"COMMENT ON COLUMN " &amp; C3 &amp; "." &amp; C11 &amp; " IS '" &amp; B11 &amp; "'"</f>
        <v>COMMENT ON COLUMN MIXING_RECIPE.MIX_STAGE IS '배합단계'</v>
      </c>
      <c r="X11" s="13" t="s">
        <v>771</v>
      </c>
    </row>
    <row r="12" spans="1:24" x14ac:dyDescent="0.3">
      <c r="A12" s="2"/>
      <c r="B12" s="12" t="s">
        <v>668</v>
      </c>
      <c r="C12" s="12" t="s">
        <v>669</v>
      </c>
      <c r="D12" s="2"/>
      <c r="E12" s="12" t="s">
        <v>563</v>
      </c>
      <c r="F12" s="2">
        <v>1</v>
      </c>
      <c r="G12" s="12" t="s">
        <v>565</v>
      </c>
      <c r="H12" s="12"/>
      <c r="I12" s="1"/>
      <c r="J12" s="1" t="str">
        <f t="shared" si="1"/>
        <v>CONFIRM_YN</v>
      </c>
      <c r="K12" s="1" t="str">
        <f t="shared" si="2"/>
        <v>CHAR</v>
      </c>
      <c r="L12" s="1" t="str">
        <f t="shared" si="3"/>
        <v>(</v>
      </c>
      <c r="M12" s="1">
        <f t="shared" si="4"/>
        <v>1</v>
      </c>
      <c r="N12" s="1" t="str">
        <f t="shared" si="5"/>
        <v>)</v>
      </c>
      <c r="O12" s="1" t="str">
        <f t="shared" si="0"/>
        <v/>
      </c>
      <c r="P12" s="1" t="str">
        <f t="shared" si="6"/>
        <v>NULL</v>
      </c>
      <c r="Q12" s="1" t="s">
        <v>113</v>
      </c>
      <c r="R12" s="1"/>
      <c r="S12" s="1" t="str">
        <f>"COMMENT ON COLUMN " &amp; C3 &amp; "." &amp; C12 &amp; " IS '" &amp; B12 &amp; "'"</f>
        <v>COMMENT ON COLUMN MIXING_RECIPE.CONFIRM_YN IS '확정여부'</v>
      </c>
      <c r="X12" s="13" t="s">
        <v>771</v>
      </c>
    </row>
    <row r="13" spans="1:24" x14ac:dyDescent="0.3">
      <c r="A13" s="2"/>
      <c r="B13" s="2" t="s">
        <v>111</v>
      </c>
      <c r="C13" s="2" t="s">
        <v>790</v>
      </c>
      <c r="D13" s="2" t="s">
        <v>188</v>
      </c>
      <c r="E13" s="2" t="s">
        <v>618</v>
      </c>
      <c r="F13" s="2">
        <v>20</v>
      </c>
      <c r="G13" s="2" t="s">
        <v>90</v>
      </c>
      <c r="H13" s="15"/>
      <c r="I13" s="1"/>
      <c r="J13" s="1" t="str">
        <f t="shared" si="1"/>
        <v>INITBY</v>
      </c>
      <c r="K13" s="1" t="str">
        <f t="shared" si="2"/>
        <v>NVARCHAR2</v>
      </c>
      <c r="L13" s="1" t="str">
        <f t="shared" si="3"/>
        <v>(</v>
      </c>
      <c r="M13" s="1">
        <f t="shared" si="4"/>
        <v>20</v>
      </c>
      <c r="N13" s="1" t="str">
        <f t="shared" si="5"/>
        <v>)</v>
      </c>
      <c r="O13" s="1" t="str">
        <f t="shared" si="0"/>
        <v/>
      </c>
      <c r="P13" s="1" t="str">
        <f t="shared" si="6"/>
        <v>NOT NULL</v>
      </c>
      <c r="Q13" s="1" t="s">
        <v>113</v>
      </c>
      <c r="R13" s="1"/>
      <c r="S13" s="1" t="str">
        <f>"COMMENT ON COLUMN " &amp; C3 &amp; "." &amp; C13 &amp; " IS '" &amp; B13 &amp; "'"</f>
        <v>COMMENT ON COLUMN MIXING_RECIPE.INITBY IS '입력자'</v>
      </c>
      <c r="X13" s="13" t="s">
        <v>771</v>
      </c>
    </row>
    <row r="14" spans="1:24" x14ac:dyDescent="0.3">
      <c r="A14" s="2"/>
      <c r="B14" s="2" t="s">
        <v>254</v>
      </c>
      <c r="C14" s="2" t="s">
        <v>791</v>
      </c>
      <c r="D14" s="2" t="s">
        <v>254</v>
      </c>
      <c r="E14" s="2" t="s">
        <v>228</v>
      </c>
      <c r="F14" s="2"/>
      <c r="G14" s="2" t="s">
        <v>90</v>
      </c>
      <c r="H14" s="12" t="s">
        <v>570</v>
      </c>
      <c r="I14" s="1"/>
      <c r="J14" s="1" t="str">
        <f t="shared" si="1"/>
        <v>INITDTTM</v>
      </c>
      <c r="K14" s="1" t="str">
        <f t="shared" si="2"/>
        <v>DATE</v>
      </c>
      <c r="L14" s="1" t="str">
        <f t="shared" si="3"/>
        <v/>
      </c>
      <c r="M14" s="1" t="str">
        <f t="shared" si="4"/>
        <v/>
      </c>
      <c r="N14" s="1" t="str">
        <f t="shared" si="5"/>
        <v/>
      </c>
      <c r="O14" s="1" t="str">
        <f t="shared" si="0"/>
        <v>DEFAULT SYSDATE</v>
      </c>
      <c r="P14" s="1" t="str">
        <f t="shared" si="6"/>
        <v>NOT NULL</v>
      </c>
      <c r="Q14" s="1" t="s">
        <v>113</v>
      </c>
      <c r="R14" s="1"/>
      <c r="S14" s="1" t="str">
        <f>"COMMENT ON COLUMN " &amp; C3 &amp; "." &amp; C14 &amp; " IS '" &amp; B14 &amp; "'"</f>
        <v>COMMENT ON COLUMN MIXING_RECIPE.INITDTTM IS '입력일시'</v>
      </c>
      <c r="X14" s="13" t="s">
        <v>771</v>
      </c>
    </row>
    <row r="15" spans="1:24" x14ac:dyDescent="0.3">
      <c r="A15" s="2"/>
      <c r="B15" s="2" t="s">
        <v>99</v>
      </c>
      <c r="C15" s="2" t="s">
        <v>793</v>
      </c>
      <c r="D15" s="2" t="s">
        <v>197</v>
      </c>
      <c r="E15" s="2" t="s">
        <v>618</v>
      </c>
      <c r="F15" s="2">
        <v>20</v>
      </c>
      <c r="G15" s="2" t="s">
        <v>122</v>
      </c>
      <c r="H15" s="15"/>
      <c r="I15" s="1"/>
      <c r="J15" s="1" t="str">
        <f t="shared" si="1"/>
        <v>UPBY</v>
      </c>
      <c r="K15" s="1" t="str">
        <f t="shared" si="2"/>
        <v>NVARCHAR2</v>
      </c>
      <c r="L15" s="1" t="str">
        <f t="shared" si="3"/>
        <v>(</v>
      </c>
      <c r="M15" s="1">
        <f t="shared" si="4"/>
        <v>20</v>
      </c>
      <c r="N15" s="1" t="str">
        <f t="shared" si="5"/>
        <v>)</v>
      </c>
      <c r="O15" s="1" t="str">
        <f t="shared" si="0"/>
        <v/>
      </c>
      <c r="P15" s="1" t="str">
        <f t="shared" si="6"/>
        <v>NULL</v>
      </c>
      <c r="Q15" s="1" t="s">
        <v>113</v>
      </c>
      <c r="R15" s="1"/>
      <c r="S15" s="1" t="str">
        <f>"COMMENT ON COLUMN " &amp; C3 &amp; "." &amp; C15 &amp; " IS '" &amp; B15 &amp; "'"</f>
        <v>COMMENT ON COLUMN MIXING_RECIPE.UPBY IS '수정자'</v>
      </c>
      <c r="X15" s="13" t="s">
        <v>771</v>
      </c>
    </row>
    <row r="16" spans="1:24" x14ac:dyDescent="0.3">
      <c r="A16" s="2"/>
      <c r="B16" s="2" t="s">
        <v>259</v>
      </c>
      <c r="C16" s="2" t="s">
        <v>792</v>
      </c>
      <c r="D16" s="2" t="s">
        <v>259</v>
      </c>
      <c r="E16" s="2" t="s">
        <v>228</v>
      </c>
      <c r="F16" s="2"/>
      <c r="G16" s="2" t="s">
        <v>122</v>
      </c>
      <c r="H16" s="12"/>
      <c r="I16" s="1"/>
      <c r="J16" s="1" t="str">
        <f t="shared" si="1"/>
        <v>UPDTTM</v>
      </c>
      <c r="K16" s="1" t="str">
        <f t="shared" si="2"/>
        <v>DATE</v>
      </c>
      <c r="L16" s="1" t="str">
        <f t="shared" si="3"/>
        <v/>
      </c>
      <c r="M16" s="1" t="str">
        <f t="shared" si="4"/>
        <v/>
      </c>
      <c r="N16" s="1" t="str">
        <f t="shared" si="5"/>
        <v/>
      </c>
      <c r="O16" s="1" t="str">
        <f t="shared" si="0"/>
        <v/>
      </c>
      <c r="P16" s="1" t="str">
        <f t="shared" si="6"/>
        <v>NULL</v>
      </c>
      <c r="Q16" s="21" t="s">
        <v>723</v>
      </c>
      <c r="R16" s="1"/>
      <c r="S16" s="1" t="str">
        <f>"COMMENT ON COLUMN " &amp; C3 &amp; "." &amp; C16 &amp; " IS '" &amp; B16 &amp; "'"</f>
        <v>COMMENT ON COLUMN MIXING_RECIPE.UPDTTM IS '수정일시'</v>
      </c>
      <c r="X16" s="13" t="s">
        <v>771</v>
      </c>
    </row>
    <row r="17" spans="10:17" x14ac:dyDescent="0.3">
      <c r="J17" s="13" t="str">
        <f>"ALTER TABLE "&amp;C3&amp;""</f>
        <v>ALTER TABLE MIXING_RECIPE</v>
      </c>
    </row>
    <row r="18" spans="10:17" x14ac:dyDescent="0.3">
      <c r="J18" s="13" t="str" cm="1">
        <f t="array" ref="J18">"ADD CONSTRAINT PK_"&amp;C3&amp;" PRIMARY KEY (" &amp; _xlfn.TEXTJOIN(", ", TRUE, _xlfn._xlws.FILTER(C6:C61, A6:A61="Y")) &amp; ")"</f>
        <v>ADD CONSTRAINT PK_MIXING_RECIPE PRIMARY KEY (PLANT_CODE, PRODUCT_CODE, RECIPE_VER)</v>
      </c>
      <c r="Q18" s="13" t="s">
        <v>771</v>
      </c>
    </row>
  </sheetData>
  <phoneticPr fontId="7" type="noConversion"/>
  <hyperlinks>
    <hyperlink ref="A1" location="리스트!A1" display="리스트로 이동" xr:uid="{B7DE62FF-9308-4556-9593-F47CACADF3E6}"/>
  </hyperlinks>
  <pageMargins left="0.74805557727813721" right="0.74805557727813721" top="0.98430556058883667" bottom="0.98430556058883667" header="0.51166665554046631" footer="0.51166665554046631"/>
  <pageSetup paperSize="9" fitToWidth="0" fitToHeight="0" orientation="portrait" horizontalDpi="0" verticalDpi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F8D431-6743-4B5C-8454-3528C54FB61E}">
  <dimension ref="A1:X20"/>
  <sheetViews>
    <sheetView tabSelected="1" zoomScaleNormal="100" zoomScaleSheetLayoutView="100" workbookViewId="0">
      <selection activeCell="G12" sqref="G12"/>
    </sheetView>
  </sheetViews>
  <sheetFormatPr defaultColWidth="9" defaultRowHeight="16.5" x14ac:dyDescent="0.3"/>
  <cols>
    <col min="1" max="1" width="8.625" bestFit="1" customWidth="1"/>
    <col min="2" max="2" width="13.75" bestFit="1" customWidth="1"/>
    <col min="3" max="3" width="14.125" bestFit="1" customWidth="1"/>
    <col min="4" max="4" width="19.375" bestFit="1" customWidth="1"/>
    <col min="5" max="5" width="12.75" bestFit="1" customWidth="1"/>
    <col min="6" max="6" width="6.75" bestFit="1" customWidth="1"/>
    <col min="7" max="7" width="9" bestFit="1" customWidth="1"/>
    <col min="8" max="8" width="9" customWidth="1"/>
    <col min="10" max="11" width="16.875" customWidth="1"/>
    <col min="12" max="12" width="1.625" bestFit="1" customWidth="1"/>
    <col min="13" max="13" width="3.75" customWidth="1"/>
    <col min="14" max="14" width="1.625" bestFit="1" customWidth="1"/>
    <col min="15" max="15" width="18.375" bestFit="1" customWidth="1"/>
    <col min="16" max="17" width="10.125" bestFit="1" customWidth="1"/>
    <col min="18" max="18" width="16.875" customWidth="1"/>
  </cols>
  <sheetData>
    <row r="1" spans="1:24" x14ac:dyDescent="0.3">
      <c r="A1" s="16" t="s">
        <v>615</v>
      </c>
    </row>
    <row r="2" spans="1:24" x14ac:dyDescent="0.3">
      <c r="A2" s="2"/>
      <c r="B2" s="2" t="s">
        <v>116</v>
      </c>
      <c r="C2" s="2" t="s">
        <v>119</v>
      </c>
      <c r="D2" s="2" t="s">
        <v>112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24" x14ac:dyDescent="0.3">
      <c r="A3" s="2"/>
      <c r="B3" s="12" t="s">
        <v>670</v>
      </c>
      <c r="C3" s="12" t="s">
        <v>676</v>
      </c>
      <c r="D3" s="2"/>
      <c r="E3" s="1"/>
      <c r="F3" s="1"/>
      <c r="G3" s="1"/>
      <c r="H3" s="1"/>
      <c r="I3" s="1"/>
      <c r="J3" s="13" t="str">
        <f>"DROP TABLE "&amp;C3&amp;" CASCADE CONSTRAINTS PURGE"</f>
        <v>DROP TABLE MIXING_RECIPE_DETAIL CASCADE CONSTRAINTS PURGE</v>
      </c>
      <c r="K3" s="1"/>
      <c r="L3" s="1"/>
      <c r="M3" s="1"/>
      <c r="N3" s="1"/>
      <c r="O3" s="1"/>
      <c r="P3" s="21"/>
      <c r="Q3" s="21" t="s">
        <v>771</v>
      </c>
      <c r="R3" s="1"/>
      <c r="S3" s="1"/>
    </row>
    <row r="4" spans="1:24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24" x14ac:dyDescent="0.3">
      <c r="A5" s="2" t="s">
        <v>88</v>
      </c>
      <c r="B5" s="2" t="s">
        <v>215</v>
      </c>
      <c r="C5" s="2" t="s">
        <v>252</v>
      </c>
      <c r="D5" s="2" t="s">
        <v>169</v>
      </c>
      <c r="E5" s="2" t="s">
        <v>265</v>
      </c>
      <c r="F5" s="2" t="s">
        <v>101</v>
      </c>
      <c r="G5" s="2" t="s">
        <v>205</v>
      </c>
      <c r="H5" s="12" t="s">
        <v>569</v>
      </c>
      <c r="I5" s="1"/>
      <c r="J5" s="1" t="str">
        <f>"CREATE TABLE "&amp;C3&amp;" ("</f>
        <v>CREATE TABLE MIXING_RECIPE_DETAIL (</v>
      </c>
      <c r="K5" s="1"/>
      <c r="L5" s="1"/>
      <c r="M5" s="1"/>
      <c r="N5" s="1"/>
      <c r="O5" s="1"/>
      <c r="P5" s="1"/>
      <c r="Q5" s="1"/>
      <c r="R5" s="1"/>
      <c r="S5" s="1" t="str">
        <f>"COMMENT ON TABLE " &amp; C3 &amp; " IS '" &amp; SUBSTITUTE(B3,"'","''") &amp; "'"</f>
        <v>COMMENT ON TABLE MIXING_RECIPE_DETAIL IS '배합비상세'</v>
      </c>
      <c r="X5" s="13" t="s">
        <v>771</v>
      </c>
    </row>
    <row r="6" spans="1:24" x14ac:dyDescent="0.3">
      <c r="A6" s="12" t="s">
        <v>565</v>
      </c>
      <c r="B6" s="12" t="s">
        <v>538</v>
      </c>
      <c r="C6" s="14" t="s">
        <v>528</v>
      </c>
      <c r="D6" s="12"/>
      <c r="E6" s="12" t="s">
        <v>618</v>
      </c>
      <c r="F6" s="2">
        <v>20</v>
      </c>
      <c r="G6" s="12" t="s">
        <v>564</v>
      </c>
      <c r="H6" s="12"/>
      <c r="I6" s="1"/>
      <c r="J6" s="1" t="str">
        <f>""&amp;C6&amp;""</f>
        <v>PLANT_CODE</v>
      </c>
      <c r="K6" s="1" t="str">
        <f>""&amp;E6&amp;""</f>
        <v>NVARCHAR2</v>
      </c>
      <c r="L6" s="1" t="str">
        <f>IF(F6="","","(")</f>
        <v>(</v>
      </c>
      <c r="M6" s="1">
        <f>IF(F6="","",F6)</f>
        <v>20</v>
      </c>
      <c r="N6" s="1" t="str">
        <f>IF(F6="","",")")</f>
        <v>)</v>
      </c>
      <c r="O6" s="1" t="str">
        <f t="shared" ref="O6:O18" si="0">IF(H6&lt;&gt;"","DEFAULT "&amp;H6,"")</f>
        <v/>
      </c>
      <c r="P6" s="1" t="str">
        <f>IF(G6="N","NOT NULL","NULL")</f>
        <v>NOT NULL</v>
      </c>
      <c r="Q6" s="1" t="s">
        <v>113</v>
      </c>
      <c r="S6" s="1" t="str">
        <f>"COMMENT ON COLUMN " &amp; C3 &amp; "." &amp; C6 &amp; " IS '" &amp; B6 &amp; "'"</f>
        <v>COMMENT ON COLUMN MIXING_RECIPE_DETAIL.PLANT_CODE IS '공장코드'</v>
      </c>
      <c r="X6" s="13" t="s">
        <v>771</v>
      </c>
    </row>
    <row r="7" spans="1:24" x14ac:dyDescent="0.3">
      <c r="A7" s="12" t="s">
        <v>565</v>
      </c>
      <c r="B7" s="12" t="s">
        <v>663</v>
      </c>
      <c r="C7" s="12" t="s">
        <v>819</v>
      </c>
      <c r="D7" s="2"/>
      <c r="E7" s="12" t="s">
        <v>618</v>
      </c>
      <c r="F7" s="2">
        <v>20</v>
      </c>
      <c r="G7" s="12" t="s">
        <v>564</v>
      </c>
      <c r="H7" s="12"/>
      <c r="I7" s="1"/>
      <c r="J7" s="1" t="str">
        <f t="shared" ref="J7:J18" si="1">""&amp;C7&amp;""</f>
        <v>PRODUCT_CODE</v>
      </c>
      <c r="K7" s="1" t="str">
        <f t="shared" ref="K7:K18" si="2">""&amp;E7&amp;""</f>
        <v>NVARCHAR2</v>
      </c>
      <c r="L7" s="1" t="str">
        <f t="shared" ref="L7:L18" si="3">IF(F7="","","(")</f>
        <v>(</v>
      </c>
      <c r="M7" s="1">
        <f t="shared" ref="M7:M18" si="4">IF(F7="","",F7)</f>
        <v>20</v>
      </c>
      <c r="N7" s="1" t="str">
        <f t="shared" ref="N7:N18" si="5">IF(F7="","",")")</f>
        <v>)</v>
      </c>
      <c r="O7" s="1" t="str">
        <f t="shared" si="0"/>
        <v/>
      </c>
      <c r="P7" s="1" t="str">
        <f t="shared" ref="P7:P18" si="6">IF(G7="N","NOT NULL","NULL")</f>
        <v>NOT NULL</v>
      </c>
      <c r="Q7" s="1" t="s">
        <v>113</v>
      </c>
      <c r="R7" s="1"/>
      <c r="S7" s="1" t="str">
        <f>"COMMENT ON COLUMN " &amp; C3 &amp; "." &amp; C7 &amp; " IS '" &amp; B7 &amp; "'"</f>
        <v>COMMENT ON COLUMN MIXING_RECIPE_DETAIL.PRODUCT_CODE IS '제품'</v>
      </c>
      <c r="X7" s="13" t="s">
        <v>771</v>
      </c>
    </row>
    <row r="8" spans="1:24" x14ac:dyDescent="0.3">
      <c r="A8" s="12" t="s">
        <v>565</v>
      </c>
      <c r="B8" s="12" t="s">
        <v>601</v>
      </c>
      <c r="C8" s="12" t="s">
        <v>685</v>
      </c>
      <c r="D8" s="2"/>
      <c r="E8" s="12" t="s">
        <v>618</v>
      </c>
      <c r="F8" s="2">
        <v>20</v>
      </c>
      <c r="G8" s="12" t="s">
        <v>564</v>
      </c>
      <c r="H8" s="12"/>
      <c r="I8" s="1"/>
      <c r="J8" s="1" t="str">
        <f t="shared" si="1"/>
        <v>RECIPE_VER</v>
      </c>
      <c r="K8" s="1" t="str">
        <f t="shared" si="2"/>
        <v>NVARCHAR2</v>
      </c>
      <c r="L8" s="1" t="str">
        <f t="shared" si="3"/>
        <v>(</v>
      </c>
      <c r="M8" s="1">
        <f t="shared" si="4"/>
        <v>20</v>
      </c>
      <c r="N8" s="1" t="str">
        <f t="shared" si="5"/>
        <v>)</v>
      </c>
      <c r="O8" s="1" t="str">
        <f t="shared" si="0"/>
        <v/>
      </c>
      <c r="P8" s="1" t="str">
        <f t="shared" si="6"/>
        <v>NOT NULL</v>
      </c>
      <c r="Q8" s="1" t="s">
        <v>113</v>
      </c>
      <c r="R8" s="1"/>
      <c r="S8" s="1" t="str">
        <f>"COMMENT ON COLUMN " &amp; C3 &amp; "." &amp; C8 &amp; " IS '" &amp; B8 &amp; "'"</f>
        <v>COMMENT ON COLUMN MIXING_RECIPE_DETAIL.RECIPE_VER IS '버전'</v>
      </c>
      <c r="X8" s="13" t="s">
        <v>771</v>
      </c>
    </row>
    <row r="9" spans="1:24" x14ac:dyDescent="0.3">
      <c r="A9" s="12" t="s">
        <v>565</v>
      </c>
      <c r="B9" s="12" t="s">
        <v>621</v>
      </c>
      <c r="C9" s="12" t="s">
        <v>623</v>
      </c>
      <c r="D9" s="2"/>
      <c r="E9" s="12" t="s">
        <v>618</v>
      </c>
      <c r="F9" s="2">
        <v>20</v>
      </c>
      <c r="G9" s="12" t="s">
        <v>564</v>
      </c>
      <c r="H9" s="12"/>
      <c r="I9" s="1"/>
      <c r="J9" s="1" t="str">
        <f t="shared" si="1"/>
        <v>MATERIAL_CODE</v>
      </c>
      <c r="K9" s="1" t="str">
        <f t="shared" si="2"/>
        <v>NVARCHAR2</v>
      </c>
      <c r="L9" s="1" t="str">
        <f t="shared" si="3"/>
        <v>(</v>
      </c>
      <c r="M9" s="1">
        <f t="shared" si="4"/>
        <v>20</v>
      </c>
      <c r="N9" s="1" t="str">
        <f t="shared" si="5"/>
        <v>)</v>
      </c>
      <c r="O9" s="1" t="str">
        <f t="shared" si="0"/>
        <v/>
      </c>
      <c r="P9" s="1" t="str">
        <f t="shared" si="6"/>
        <v>NOT NULL</v>
      </c>
      <c r="Q9" s="1" t="s">
        <v>113</v>
      </c>
      <c r="R9" s="1"/>
      <c r="S9" s="1" t="str">
        <f>"COMMENT ON COLUMN " &amp; C3 &amp; "." &amp; C9 &amp; " IS '" &amp; B9 &amp; "'"</f>
        <v>COMMENT ON COLUMN MIXING_RECIPE_DETAIL.MATERIAL_CODE IS '원료'</v>
      </c>
      <c r="X9" s="13" t="s">
        <v>771</v>
      </c>
    </row>
    <row r="10" spans="1:24" x14ac:dyDescent="0.3">
      <c r="A10" s="2"/>
      <c r="B10" s="12" t="s">
        <v>671</v>
      </c>
      <c r="C10" s="12" t="s">
        <v>730</v>
      </c>
      <c r="D10" s="2"/>
      <c r="E10" s="12" t="s">
        <v>618</v>
      </c>
      <c r="F10" s="2">
        <v>10</v>
      </c>
      <c r="G10" s="12" t="s">
        <v>565</v>
      </c>
      <c r="H10" s="12"/>
      <c r="I10" s="1"/>
      <c r="J10" s="1" t="str">
        <f t="shared" si="1"/>
        <v>MIX_MATERIAL_UOM</v>
      </c>
      <c r="K10" s="1" t="str">
        <f t="shared" si="2"/>
        <v>NVARCHAR2</v>
      </c>
      <c r="L10" s="1" t="str">
        <f t="shared" si="3"/>
        <v>(</v>
      </c>
      <c r="M10" s="1">
        <f t="shared" si="4"/>
        <v>10</v>
      </c>
      <c r="N10" s="1" t="str">
        <f t="shared" si="5"/>
        <v>)</v>
      </c>
      <c r="O10" s="1" t="str">
        <f t="shared" si="0"/>
        <v/>
      </c>
      <c r="P10" s="1" t="str">
        <f t="shared" si="6"/>
        <v>NULL</v>
      </c>
      <c r="Q10" s="1" t="s">
        <v>113</v>
      </c>
      <c r="R10" s="1"/>
      <c r="S10" s="1" t="str">
        <f>"COMMENT ON COLUMN " &amp; C3 &amp; "." &amp; C10 &amp; " IS '" &amp; B10 &amp; "'"</f>
        <v>COMMENT ON COLUMN MIXING_RECIPE_DETAIL.MIX_MATERIAL_UOM IS '원료단위'</v>
      </c>
      <c r="X10" s="13" t="s">
        <v>771</v>
      </c>
    </row>
    <row r="11" spans="1:24" x14ac:dyDescent="0.3">
      <c r="A11" s="2"/>
      <c r="B11" s="12" t="s">
        <v>664</v>
      </c>
      <c r="C11" s="12" t="s">
        <v>666</v>
      </c>
      <c r="D11" s="2"/>
      <c r="E11" s="12" t="s">
        <v>587</v>
      </c>
      <c r="F11" s="2"/>
      <c r="G11" s="12" t="s">
        <v>565</v>
      </c>
      <c r="H11" s="12"/>
      <c r="I11" s="1"/>
      <c r="J11" s="1" t="str">
        <f t="shared" si="1"/>
        <v>VALID_FROM_DATE</v>
      </c>
      <c r="K11" s="1" t="str">
        <f t="shared" si="2"/>
        <v>DATE</v>
      </c>
      <c r="L11" s="1" t="str">
        <f t="shared" si="3"/>
        <v/>
      </c>
      <c r="M11" s="1" t="str">
        <f t="shared" si="4"/>
        <v/>
      </c>
      <c r="N11" s="1" t="str">
        <f t="shared" si="5"/>
        <v/>
      </c>
      <c r="O11" s="1" t="str">
        <f t="shared" si="0"/>
        <v/>
      </c>
      <c r="P11" s="1" t="str">
        <f t="shared" si="6"/>
        <v>NULL</v>
      </c>
      <c r="Q11" s="1" t="s">
        <v>113</v>
      </c>
      <c r="R11" s="1"/>
      <c r="S11" s="1" t="str">
        <f>"COMMENT ON COLUMN " &amp; C3 &amp; "." &amp; C11 &amp; " IS '" &amp; B11 &amp; "'"</f>
        <v>COMMENT ON COLUMN MIXING_RECIPE_DETAIL.VALID_FROM_DATE IS '유효기간시작일'</v>
      </c>
      <c r="X11" s="13" t="s">
        <v>771</v>
      </c>
    </row>
    <row r="12" spans="1:24" x14ac:dyDescent="0.3">
      <c r="A12" s="2"/>
      <c r="B12" s="12" t="s">
        <v>665</v>
      </c>
      <c r="C12" s="12" t="s">
        <v>667</v>
      </c>
      <c r="D12" s="2"/>
      <c r="E12" s="12" t="s">
        <v>587</v>
      </c>
      <c r="F12" s="2"/>
      <c r="G12" s="12" t="s">
        <v>565</v>
      </c>
      <c r="H12" s="12"/>
      <c r="I12" s="1"/>
      <c r="J12" s="1" t="str">
        <f t="shared" si="1"/>
        <v>VALIE_TO_DATE</v>
      </c>
      <c r="K12" s="1" t="str">
        <f t="shared" si="2"/>
        <v>DATE</v>
      </c>
      <c r="L12" s="1" t="str">
        <f t="shared" si="3"/>
        <v/>
      </c>
      <c r="M12" s="1" t="str">
        <f t="shared" si="4"/>
        <v/>
      </c>
      <c r="N12" s="1" t="str">
        <f t="shared" si="5"/>
        <v/>
      </c>
      <c r="O12" s="1" t="str">
        <f t="shared" si="0"/>
        <v/>
      </c>
      <c r="P12" s="1" t="str">
        <f t="shared" si="6"/>
        <v>NULL</v>
      </c>
      <c r="Q12" s="1" t="s">
        <v>113</v>
      </c>
      <c r="R12" s="1"/>
      <c r="S12" s="1" t="str">
        <f>"COMMENT ON COLUMN " &amp; C3 &amp; "." &amp; C12 &amp; " IS '" &amp; B12 &amp; "'"</f>
        <v>COMMENT ON COLUMN MIXING_RECIPE_DETAIL.VALIE_TO_DATE IS '유효기간종료일'</v>
      </c>
      <c r="X12" s="13" t="s">
        <v>771</v>
      </c>
    </row>
    <row r="13" spans="1:24" x14ac:dyDescent="0.3">
      <c r="A13" s="2"/>
      <c r="B13" s="12" t="s">
        <v>672</v>
      </c>
      <c r="C13" s="12" t="s">
        <v>673</v>
      </c>
      <c r="D13" s="2"/>
      <c r="E13" s="12" t="s">
        <v>546</v>
      </c>
      <c r="F13" s="12" t="s">
        <v>674</v>
      </c>
      <c r="G13" s="12" t="s">
        <v>565</v>
      </c>
      <c r="H13" s="12"/>
      <c r="I13" s="1"/>
      <c r="J13" s="1" t="str">
        <f t="shared" si="1"/>
        <v>RATIO</v>
      </c>
      <c r="K13" s="1" t="str">
        <f t="shared" si="2"/>
        <v>NUMBER</v>
      </c>
      <c r="L13" s="1" t="str">
        <f t="shared" si="3"/>
        <v>(</v>
      </c>
      <c r="M13" s="1" t="str">
        <f t="shared" si="4"/>
        <v>6, 3</v>
      </c>
      <c r="N13" s="1" t="str">
        <f t="shared" si="5"/>
        <v>)</v>
      </c>
      <c r="O13" s="1" t="str">
        <f t="shared" si="0"/>
        <v/>
      </c>
      <c r="P13" s="1" t="str">
        <f t="shared" si="6"/>
        <v>NULL</v>
      </c>
      <c r="Q13" s="1" t="s">
        <v>113</v>
      </c>
      <c r="R13" s="1"/>
      <c r="S13" s="1" t="str">
        <f>"COMMENT ON COLUMN " &amp; C3 &amp; "." &amp; C13 &amp; " IS '" &amp; B13 &amp; "'"</f>
        <v>COMMENT ON COLUMN MIXING_RECIPE_DETAIL.RATIO IS '비율'</v>
      </c>
      <c r="X13" s="13" t="s">
        <v>771</v>
      </c>
    </row>
    <row r="14" spans="1:24" x14ac:dyDescent="0.3">
      <c r="A14" s="2"/>
      <c r="B14" s="12" t="s">
        <v>544</v>
      </c>
      <c r="C14" s="12" t="s">
        <v>536</v>
      </c>
      <c r="D14" s="2"/>
      <c r="E14" s="12" t="s">
        <v>546</v>
      </c>
      <c r="F14" s="2">
        <v>3</v>
      </c>
      <c r="G14" s="12" t="s">
        <v>565</v>
      </c>
      <c r="H14" s="12"/>
      <c r="I14" s="1"/>
      <c r="J14" s="1" t="str">
        <f t="shared" si="1"/>
        <v>SORT_SEQ</v>
      </c>
      <c r="K14" s="1" t="str">
        <f t="shared" si="2"/>
        <v>NUMBER</v>
      </c>
      <c r="L14" s="1" t="str">
        <f t="shared" si="3"/>
        <v>(</v>
      </c>
      <c r="M14" s="1">
        <f t="shared" si="4"/>
        <v>3</v>
      </c>
      <c r="N14" s="1" t="str">
        <f t="shared" si="5"/>
        <v>)</v>
      </c>
      <c r="O14" s="1" t="str">
        <f t="shared" si="0"/>
        <v/>
      </c>
      <c r="P14" s="1" t="str">
        <f t="shared" si="6"/>
        <v>NULL</v>
      </c>
      <c r="Q14" s="1" t="s">
        <v>113</v>
      </c>
      <c r="R14" s="1"/>
      <c r="S14" s="1" t="str">
        <f>"COMMENT ON COLUMN " &amp; C3 &amp; "." &amp; C14 &amp; " IS '" &amp; B14 &amp; "'"</f>
        <v>COMMENT ON COLUMN MIXING_RECIPE_DETAIL.SORT_SEQ IS '정렬순서'</v>
      </c>
      <c r="X14" s="13" t="s">
        <v>771</v>
      </c>
    </row>
    <row r="15" spans="1:24" x14ac:dyDescent="0.3">
      <c r="A15" s="2"/>
      <c r="B15" s="2" t="s">
        <v>111</v>
      </c>
      <c r="C15" s="2" t="s">
        <v>790</v>
      </c>
      <c r="D15" s="2" t="s">
        <v>188</v>
      </c>
      <c r="E15" s="2" t="s">
        <v>618</v>
      </c>
      <c r="F15" s="2">
        <v>20</v>
      </c>
      <c r="G15" s="2" t="s">
        <v>90</v>
      </c>
      <c r="H15" s="15"/>
      <c r="I15" s="1"/>
      <c r="J15" s="1" t="str">
        <f t="shared" si="1"/>
        <v>INITBY</v>
      </c>
      <c r="K15" s="1" t="str">
        <f t="shared" si="2"/>
        <v>NVARCHAR2</v>
      </c>
      <c r="L15" s="1" t="str">
        <f t="shared" si="3"/>
        <v>(</v>
      </c>
      <c r="M15" s="1">
        <f t="shared" si="4"/>
        <v>20</v>
      </c>
      <c r="N15" s="1" t="str">
        <f t="shared" si="5"/>
        <v>)</v>
      </c>
      <c r="O15" s="1" t="str">
        <f t="shared" si="0"/>
        <v/>
      </c>
      <c r="P15" s="1" t="str">
        <f t="shared" si="6"/>
        <v>NOT NULL</v>
      </c>
      <c r="Q15" s="1" t="s">
        <v>113</v>
      </c>
      <c r="R15" s="1"/>
      <c r="S15" s="1" t="str">
        <f>"COMMENT ON COLUMN " &amp; C3 &amp; "." &amp; C15 &amp; " IS '" &amp; B15 &amp; "'"</f>
        <v>COMMENT ON COLUMN MIXING_RECIPE_DETAIL.INITBY IS '입력자'</v>
      </c>
      <c r="X15" s="13" t="s">
        <v>771</v>
      </c>
    </row>
    <row r="16" spans="1:24" x14ac:dyDescent="0.3">
      <c r="A16" s="2"/>
      <c r="B16" s="2" t="s">
        <v>254</v>
      </c>
      <c r="C16" s="2" t="s">
        <v>791</v>
      </c>
      <c r="D16" s="2" t="s">
        <v>254</v>
      </c>
      <c r="E16" s="2" t="s">
        <v>228</v>
      </c>
      <c r="F16" s="2"/>
      <c r="G16" s="2" t="s">
        <v>90</v>
      </c>
      <c r="H16" s="12" t="s">
        <v>570</v>
      </c>
      <c r="I16" s="1"/>
      <c r="J16" s="1" t="str">
        <f t="shared" si="1"/>
        <v>INITDTTM</v>
      </c>
      <c r="K16" s="1" t="str">
        <f t="shared" si="2"/>
        <v>DATE</v>
      </c>
      <c r="L16" s="1" t="str">
        <f t="shared" si="3"/>
        <v/>
      </c>
      <c r="M16" s="1" t="str">
        <f t="shared" si="4"/>
        <v/>
      </c>
      <c r="N16" s="1" t="str">
        <f t="shared" si="5"/>
        <v/>
      </c>
      <c r="O16" s="1" t="str">
        <f t="shared" si="0"/>
        <v>DEFAULT SYSDATE</v>
      </c>
      <c r="P16" s="1" t="str">
        <f t="shared" si="6"/>
        <v>NOT NULL</v>
      </c>
      <c r="Q16" s="1" t="s">
        <v>113</v>
      </c>
      <c r="R16" s="1"/>
      <c r="S16" s="1" t="str">
        <f>"COMMENT ON COLUMN " &amp; C3 &amp; "." &amp; C16 &amp; " IS '" &amp; B16 &amp; "'"</f>
        <v>COMMENT ON COLUMN MIXING_RECIPE_DETAIL.INITDTTM IS '입력일시'</v>
      </c>
      <c r="X16" s="13" t="s">
        <v>771</v>
      </c>
    </row>
    <row r="17" spans="1:24" x14ac:dyDescent="0.3">
      <c r="A17" s="2"/>
      <c r="B17" s="2" t="s">
        <v>99</v>
      </c>
      <c r="C17" s="2" t="s">
        <v>793</v>
      </c>
      <c r="D17" s="2" t="s">
        <v>197</v>
      </c>
      <c r="E17" s="2" t="s">
        <v>618</v>
      </c>
      <c r="F17" s="2">
        <v>20</v>
      </c>
      <c r="G17" s="2" t="s">
        <v>122</v>
      </c>
      <c r="H17" s="15"/>
      <c r="I17" s="1"/>
      <c r="J17" s="1" t="str">
        <f t="shared" si="1"/>
        <v>UPBY</v>
      </c>
      <c r="K17" s="1" t="str">
        <f t="shared" si="2"/>
        <v>NVARCHAR2</v>
      </c>
      <c r="L17" s="1" t="str">
        <f t="shared" si="3"/>
        <v>(</v>
      </c>
      <c r="M17" s="1">
        <f t="shared" si="4"/>
        <v>20</v>
      </c>
      <c r="N17" s="1" t="str">
        <f t="shared" si="5"/>
        <v>)</v>
      </c>
      <c r="O17" s="1" t="str">
        <f t="shared" si="0"/>
        <v/>
      </c>
      <c r="P17" s="1" t="str">
        <f t="shared" si="6"/>
        <v>NULL</v>
      </c>
      <c r="Q17" s="1" t="s">
        <v>113</v>
      </c>
      <c r="R17" s="1"/>
      <c r="S17" s="1" t="str">
        <f>"COMMENT ON COLUMN " &amp; C3 &amp; "." &amp; C17 &amp; " IS '" &amp; B17 &amp; "'"</f>
        <v>COMMENT ON COLUMN MIXING_RECIPE_DETAIL.UPBY IS '수정자'</v>
      </c>
      <c r="X17" s="13" t="s">
        <v>771</v>
      </c>
    </row>
    <row r="18" spans="1:24" x14ac:dyDescent="0.3">
      <c r="A18" s="2"/>
      <c r="B18" s="2" t="s">
        <v>259</v>
      </c>
      <c r="C18" s="2" t="s">
        <v>792</v>
      </c>
      <c r="D18" s="2" t="s">
        <v>259</v>
      </c>
      <c r="E18" s="2" t="s">
        <v>228</v>
      </c>
      <c r="F18" s="2"/>
      <c r="G18" s="2" t="s">
        <v>122</v>
      </c>
      <c r="H18" s="12"/>
      <c r="I18" s="1"/>
      <c r="J18" s="1" t="str">
        <f t="shared" si="1"/>
        <v>UPDTTM</v>
      </c>
      <c r="K18" s="1" t="str">
        <f t="shared" si="2"/>
        <v>DATE</v>
      </c>
      <c r="L18" s="1" t="str">
        <f t="shared" si="3"/>
        <v/>
      </c>
      <c r="M18" s="1" t="str">
        <f t="shared" si="4"/>
        <v/>
      </c>
      <c r="N18" s="1" t="str">
        <f t="shared" si="5"/>
        <v/>
      </c>
      <c r="O18" s="1" t="str">
        <f t="shared" si="0"/>
        <v/>
      </c>
      <c r="P18" s="1" t="str">
        <f t="shared" si="6"/>
        <v>NULL</v>
      </c>
      <c r="Q18" s="21" t="s">
        <v>723</v>
      </c>
      <c r="R18" s="1"/>
      <c r="S18" s="1" t="str">
        <f>"COMMENT ON COLUMN " &amp; C3 &amp; "." &amp; C18 &amp; " IS '" &amp; B18 &amp; "'"</f>
        <v>COMMENT ON COLUMN MIXING_RECIPE_DETAIL.UPDTTM IS '수정일시'</v>
      </c>
      <c r="X18" s="13" t="s">
        <v>771</v>
      </c>
    </row>
    <row r="19" spans="1:24" x14ac:dyDescent="0.3">
      <c r="J19" s="13" t="str">
        <f>"ALTER TABLE "&amp;C3&amp;""</f>
        <v>ALTER TABLE MIXING_RECIPE_DETAIL</v>
      </c>
    </row>
    <row r="20" spans="1:24" x14ac:dyDescent="0.3">
      <c r="J20" s="13" t="str" cm="1">
        <f t="array" ref="J20">"ADD CONSTRAINT PK_"&amp;C3&amp;" PRIMARY KEY (" &amp; _xlfn.TEXTJOIN(", ", TRUE, _xlfn._xlws.FILTER(C6:C63, A6:A63="Y")) &amp; ")"</f>
        <v>ADD CONSTRAINT PK_MIXING_RECIPE_DETAIL PRIMARY KEY (PLANT_CODE, PRODUCT_CODE, RECIPE_VER, MATERIAL_CODE)</v>
      </c>
      <c r="Q20" s="13" t="s">
        <v>771</v>
      </c>
    </row>
  </sheetData>
  <phoneticPr fontId="7" type="noConversion"/>
  <hyperlinks>
    <hyperlink ref="A1" location="리스트!A1" display="리스트로 이동" xr:uid="{93E59F5C-AA61-4AE4-B626-A8AE2497AFA9}"/>
  </hyperlinks>
  <pageMargins left="0.74805557727813721" right="0.74805557727813721" top="0.98430556058883667" bottom="0.98430556058883667" header="0.51166665554046631" footer="0.51166665554046631"/>
  <pageSetup paperSize="9" fitToWidth="0" fitToHeight="0" orientation="portrait" horizontalDpi="0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CCEFFB-E61E-429C-BEA0-91494B30D86D}">
  <dimension ref="A1:S33"/>
  <sheetViews>
    <sheetView zoomScaleNormal="100" zoomScaleSheetLayoutView="100" workbookViewId="0">
      <selection activeCell="J3" sqref="J3:Q3"/>
    </sheetView>
  </sheetViews>
  <sheetFormatPr defaultColWidth="9" defaultRowHeight="16.5" x14ac:dyDescent="0.3"/>
  <cols>
    <col min="1" max="1" width="8.625" bestFit="1" customWidth="1"/>
    <col min="2" max="2" width="13.75" bestFit="1" customWidth="1"/>
    <col min="3" max="3" width="14.125" bestFit="1" customWidth="1"/>
    <col min="4" max="4" width="19.375" bestFit="1" customWidth="1"/>
    <col min="5" max="5" width="12.75" bestFit="1" customWidth="1"/>
    <col min="6" max="6" width="6.75" bestFit="1" customWidth="1"/>
    <col min="7" max="7" width="9" bestFit="1" customWidth="1"/>
    <col min="8" max="8" width="9" customWidth="1"/>
    <col min="10" max="11" width="16.875" customWidth="1"/>
    <col min="12" max="12" width="1.625" bestFit="1" customWidth="1"/>
    <col min="13" max="13" width="3.75" customWidth="1"/>
    <col min="14" max="14" width="1.625" bestFit="1" customWidth="1"/>
    <col min="15" max="15" width="18.375" bestFit="1" customWidth="1"/>
    <col min="16" max="17" width="10.125" bestFit="1" customWidth="1"/>
    <col min="18" max="18" width="16.875" customWidth="1"/>
  </cols>
  <sheetData>
    <row r="1" spans="1:19" x14ac:dyDescent="0.3">
      <c r="A1" s="16" t="s">
        <v>615</v>
      </c>
    </row>
    <row r="2" spans="1:19" x14ac:dyDescent="0.3">
      <c r="A2" s="2"/>
      <c r="B2" s="2" t="s">
        <v>116</v>
      </c>
      <c r="C2" s="2" t="s">
        <v>119</v>
      </c>
      <c r="D2" s="2" t="s">
        <v>112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3">
      <c r="A3" s="2"/>
      <c r="B3" s="12" t="s">
        <v>736</v>
      </c>
      <c r="C3" s="12" t="s">
        <v>731</v>
      </c>
      <c r="D3" s="2"/>
      <c r="E3" s="1"/>
      <c r="F3" s="1"/>
      <c r="G3" s="1"/>
      <c r="H3" s="1"/>
      <c r="I3" s="1"/>
      <c r="J3" s="13" t="str">
        <f>"DROP TABLE "&amp;C3&amp;" CASCADE CONSTRAINTS PURGE"</f>
        <v>DROP TABLE MIX_WORK_ORDER CASCADE CONSTRAINTS PURGE</v>
      </c>
      <c r="K3" s="1"/>
      <c r="L3" s="1"/>
      <c r="M3" s="1"/>
      <c r="N3" s="1"/>
      <c r="O3" s="1"/>
      <c r="P3" s="21"/>
      <c r="Q3" s="21" t="s">
        <v>771</v>
      </c>
      <c r="R3" s="1"/>
      <c r="S3" s="1"/>
    </row>
    <row r="4" spans="1:19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3">
      <c r="A5" s="2" t="s">
        <v>88</v>
      </c>
      <c r="B5" s="2" t="s">
        <v>215</v>
      </c>
      <c r="C5" s="2" t="s">
        <v>252</v>
      </c>
      <c r="D5" s="2" t="s">
        <v>169</v>
      </c>
      <c r="E5" s="2" t="s">
        <v>265</v>
      </c>
      <c r="F5" s="2" t="s">
        <v>101</v>
      </c>
      <c r="G5" s="2" t="s">
        <v>205</v>
      </c>
      <c r="H5" s="12" t="s">
        <v>569</v>
      </c>
      <c r="I5" s="1"/>
      <c r="J5" s="1" t="str">
        <f>"CREATE TABLE "&amp;C3&amp;" ("</f>
        <v>CREATE TABLE MIX_WORK_ORDER (</v>
      </c>
      <c r="K5" s="1"/>
      <c r="L5" s="1"/>
      <c r="M5" s="1"/>
      <c r="N5" s="1"/>
      <c r="O5" s="1"/>
      <c r="P5" s="1"/>
      <c r="Q5" s="1"/>
      <c r="R5" s="1"/>
      <c r="S5" s="1" t="str">
        <f>"COMMENT ON TABLE " &amp; C3 &amp; " IS '" &amp; SUBSTITUTE(B3,"'","''") &amp; "'"</f>
        <v>COMMENT ON TABLE MIX_WORK_ORDER IS '배합 작업지시'</v>
      </c>
    </row>
    <row r="6" spans="1:19" x14ac:dyDescent="0.3">
      <c r="A6" s="12" t="s">
        <v>565</v>
      </c>
      <c r="B6" s="2" t="s">
        <v>35</v>
      </c>
      <c r="C6" s="12" t="s">
        <v>653</v>
      </c>
      <c r="D6" s="2"/>
      <c r="E6" s="2" t="s">
        <v>618</v>
      </c>
      <c r="F6" s="2">
        <v>20</v>
      </c>
      <c r="G6" s="2" t="s">
        <v>90</v>
      </c>
      <c r="H6" s="12"/>
      <c r="I6" s="1"/>
      <c r="J6" s="1" t="str">
        <f t="shared" ref="J6:J27" si="0">""&amp;C6&amp;""</f>
        <v>PLANT_CODE</v>
      </c>
      <c r="K6" s="1" t="str">
        <f t="shared" ref="K6:K27" si="1">""&amp;E6&amp;""</f>
        <v>NVARCHAR2</v>
      </c>
      <c r="L6" s="1" t="str">
        <f t="shared" ref="L6:L31" si="2">IF(F6="","","(")</f>
        <v>(</v>
      </c>
      <c r="M6" s="1">
        <f t="shared" ref="M6:M31" si="3">IF(F6="","",F6)</f>
        <v>20</v>
      </c>
      <c r="N6" s="1" t="str">
        <f t="shared" ref="N6:N31" si="4">IF(F6="","",")")</f>
        <v>)</v>
      </c>
      <c r="O6" s="1" t="str">
        <f t="shared" ref="O6:O31" si="5">IF(H6&lt;&gt;"","DEFAULT "&amp;H6,"")</f>
        <v/>
      </c>
      <c r="P6" s="1" t="str">
        <f>IF(G6="N","NOT NULL","NULL")</f>
        <v>NOT NULL</v>
      </c>
      <c r="Q6" s="1" t="s">
        <v>113</v>
      </c>
      <c r="S6" s="1" t="str">
        <f>"COMMENT ON COLUMN " &amp; C3 &amp; "." &amp; C6 &amp; " IS '" &amp; B6 &amp; "'"</f>
        <v>COMMENT ON COLUMN MIX_WORK_ORDER.PLANT_CODE IS '고객사코드'</v>
      </c>
    </row>
    <row r="7" spans="1:19" x14ac:dyDescent="0.3">
      <c r="A7" s="12" t="s">
        <v>565</v>
      </c>
      <c r="B7" s="2" t="s">
        <v>245</v>
      </c>
      <c r="C7" s="2" t="s">
        <v>291</v>
      </c>
      <c r="D7" s="2"/>
      <c r="E7" s="2" t="s">
        <v>618</v>
      </c>
      <c r="F7" s="2">
        <v>20</v>
      </c>
      <c r="G7" s="2" t="s">
        <v>90</v>
      </c>
      <c r="H7" s="12"/>
      <c r="I7" s="1"/>
      <c r="J7" s="1" t="str">
        <f t="shared" si="0"/>
        <v>PROCESS_CODE</v>
      </c>
      <c r="K7" s="1" t="str">
        <f t="shared" si="1"/>
        <v>NVARCHAR2</v>
      </c>
      <c r="L7" s="1" t="str">
        <f t="shared" si="2"/>
        <v>(</v>
      </c>
      <c r="M7" s="1">
        <f t="shared" si="3"/>
        <v>20</v>
      </c>
      <c r="N7" s="1" t="str">
        <f t="shared" si="4"/>
        <v>)</v>
      </c>
      <c r="O7" s="1" t="str">
        <f t="shared" si="5"/>
        <v/>
      </c>
      <c r="P7" s="1" t="str">
        <f t="shared" ref="P7:P31" si="6">IF(G7="N","NOT NULL","NULL")</f>
        <v>NOT NULL</v>
      </c>
      <c r="Q7" s="1" t="s">
        <v>113</v>
      </c>
      <c r="R7" s="1"/>
      <c r="S7" s="1" t="str">
        <f>"COMMENT ON COLUMN " &amp; C3 &amp; "." &amp; C7 &amp; " IS '" &amp; B7 &amp; "'"</f>
        <v>COMMENT ON COLUMN MIX_WORK_ORDER.PROCESS_CODE IS '공정코드'</v>
      </c>
    </row>
    <row r="8" spans="1:19" x14ac:dyDescent="0.3">
      <c r="A8" s="12" t="s">
        <v>565</v>
      </c>
      <c r="B8" s="12" t="s">
        <v>684</v>
      </c>
      <c r="C8" s="12" t="s">
        <v>677</v>
      </c>
      <c r="D8" s="2"/>
      <c r="E8" s="2" t="s">
        <v>618</v>
      </c>
      <c r="F8" s="2">
        <v>10</v>
      </c>
      <c r="G8" s="12" t="s">
        <v>564</v>
      </c>
      <c r="H8" s="12"/>
      <c r="I8" s="1"/>
      <c r="J8" s="1" t="str">
        <f t="shared" si="0"/>
        <v>LINE_CODE</v>
      </c>
      <c r="K8" s="1" t="str">
        <f t="shared" si="1"/>
        <v>NVARCHAR2</v>
      </c>
      <c r="L8" s="1" t="str">
        <f t="shared" si="2"/>
        <v>(</v>
      </c>
      <c r="M8" s="1">
        <f t="shared" si="3"/>
        <v>10</v>
      </c>
      <c r="N8" s="1" t="str">
        <f t="shared" si="4"/>
        <v>)</v>
      </c>
      <c r="O8" s="1" t="str">
        <f t="shared" si="5"/>
        <v/>
      </c>
      <c r="P8" s="1" t="str">
        <f t="shared" si="6"/>
        <v>NOT NULL</v>
      </c>
      <c r="Q8" s="1" t="s">
        <v>113</v>
      </c>
      <c r="R8" s="1"/>
      <c r="S8" s="1" t="str">
        <f>"COMMENT ON COLUMN " &amp; C3 &amp; "." &amp; C8 &amp; " IS '" &amp; B8 &amp; "'"</f>
        <v>COMMENT ON COLUMN MIX_WORK_ORDER.LINE_CODE IS '공정라인코드'</v>
      </c>
    </row>
    <row r="9" spans="1:19" x14ac:dyDescent="0.3">
      <c r="A9" s="12" t="s">
        <v>565</v>
      </c>
      <c r="B9" s="2" t="s">
        <v>317</v>
      </c>
      <c r="C9" s="2" t="s">
        <v>312</v>
      </c>
      <c r="D9" s="2"/>
      <c r="E9" s="2" t="s">
        <v>618</v>
      </c>
      <c r="F9" s="2">
        <v>8</v>
      </c>
      <c r="G9" s="12" t="s">
        <v>564</v>
      </c>
      <c r="H9" s="12"/>
      <c r="I9" s="1"/>
      <c r="J9" s="1" t="str">
        <f t="shared" si="0"/>
        <v>WORK_DATE</v>
      </c>
      <c r="K9" s="1" t="str">
        <f t="shared" si="1"/>
        <v>NVARCHAR2</v>
      </c>
      <c r="L9" s="1" t="str">
        <f t="shared" si="2"/>
        <v>(</v>
      </c>
      <c r="M9" s="1">
        <f t="shared" si="3"/>
        <v>8</v>
      </c>
      <c r="N9" s="1" t="str">
        <f t="shared" si="4"/>
        <v>)</v>
      </c>
      <c r="O9" s="1" t="str">
        <f t="shared" si="5"/>
        <v/>
      </c>
      <c r="P9" s="1" t="str">
        <f t="shared" si="6"/>
        <v>NOT NULL</v>
      </c>
      <c r="Q9" s="1" t="s">
        <v>113</v>
      </c>
      <c r="R9" s="1"/>
      <c r="S9" s="1" t="str">
        <f>"COMMENT ON COLUMN " &amp; C3 &amp; "." &amp; C9 &amp; " IS '" &amp; B9 &amp; "'"</f>
        <v>COMMENT ON COLUMN MIX_WORK_ORDER.WORK_DATE IS '작업지시일'</v>
      </c>
    </row>
    <row r="10" spans="1:19" x14ac:dyDescent="0.3">
      <c r="A10" s="12" t="s">
        <v>565</v>
      </c>
      <c r="B10" s="2" t="s">
        <v>316</v>
      </c>
      <c r="C10" s="2" t="s">
        <v>313</v>
      </c>
      <c r="D10" s="2"/>
      <c r="E10" s="12" t="s">
        <v>546</v>
      </c>
      <c r="F10" s="2">
        <v>3</v>
      </c>
      <c r="G10" s="12" t="s">
        <v>564</v>
      </c>
      <c r="H10" s="12"/>
      <c r="I10" s="1"/>
      <c r="J10" s="1" t="str">
        <f t="shared" si="0"/>
        <v>WORK_NUM</v>
      </c>
      <c r="K10" s="1" t="str">
        <f t="shared" si="1"/>
        <v>NUMBER</v>
      </c>
      <c r="L10" s="1" t="str">
        <f t="shared" si="2"/>
        <v>(</v>
      </c>
      <c r="M10" s="1">
        <f t="shared" si="3"/>
        <v>3</v>
      </c>
      <c r="N10" s="1" t="str">
        <f t="shared" si="4"/>
        <v>)</v>
      </c>
      <c r="O10" s="1" t="str">
        <f t="shared" si="5"/>
        <v/>
      </c>
      <c r="P10" s="1" t="str">
        <f t="shared" si="6"/>
        <v>NOT NULL</v>
      </c>
      <c r="Q10" s="1" t="s">
        <v>113</v>
      </c>
      <c r="R10" s="1"/>
      <c r="S10" s="1" t="str">
        <f>"COMMENT ON COLUMN " &amp; C3 &amp; "." &amp; C10 &amp; " IS '" &amp; B10 &amp; "'"</f>
        <v>COMMENT ON COLUMN MIX_WORK_ORDER.WORK_NUM IS '작업지시순서'</v>
      </c>
    </row>
    <row r="11" spans="1:19" x14ac:dyDescent="0.3">
      <c r="A11" s="2"/>
      <c r="B11" s="2" t="s">
        <v>255</v>
      </c>
      <c r="C11" s="2" t="s">
        <v>288</v>
      </c>
      <c r="D11" s="2"/>
      <c r="E11" s="2" t="s">
        <v>618</v>
      </c>
      <c r="F11" s="2">
        <v>20</v>
      </c>
      <c r="G11" s="12" t="s">
        <v>565</v>
      </c>
      <c r="H11" s="12"/>
      <c r="I11" s="1"/>
      <c r="J11" s="1" t="str">
        <f t="shared" si="0"/>
        <v>MATERIAL_CODE</v>
      </c>
      <c r="K11" s="1" t="str">
        <f t="shared" si="1"/>
        <v>NVARCHAR2</v>
      </c>
      <c r="L11" s="1" t="str">
        <f t="shared" si="2"/>
        <v>(</v>
      </c>
      <c r="M11" s="1">
        <f t="shared" si="3"/>
        <v>20</v>
      </c>
      <c r="N11" s="1" t="str">
        <f t="shared" si="4"/>
        <v>)</v>
      </c>
      <c r="O11" s="1" t="str">
        <f t="shared" si="5"/>
        <v/>
      </c>
      <c r="P11" s="1" t="str">
        <f t="shared" si="6"/>
        <v>NULL</v>
      </c>
      <c r="Q11" s="1" t="s">
        <v>113</v>
      </c>
      <c r="R11" s="1"/>
      <c r="S11" s="1" t="str">
        <f>"COMMENT ON COLUMN " &amp; C3 &amp; "." &amp; C11 &amp; " IS '" &amp; B11 &amp; "'"</f>
        <v>COMMENT ON COLUMN MIX_WORK_ORDER.MATERIAL_CODE IS '원료코드'</v>
      </c>
    </row>
    <row r="12" spans="1:19" x14ac:dyDescent="0.3">
      <c r="A12" s="2"/>
      <c r="B12" s="2" t="s">
        <v>47</v>
      </c>
      <c r="C12" s="2" t="s">
        <v>144</v>
      </c>
      <c r="D12" s="2"/>
      <c r="E12" s="2" t="s">
        <v>618</v>
      </c>
      <c r="F12" s="2">
        <v>20</v>
      </c>
      <c r="G12" s="12" t="s">
        <v>565</v>
      </c>
      <c r="H12" s="12"/>
      <c r="I12" s="1"/>
      <c r="J12" s="1" t="str">
        <f t="shared" si="0"/>
        <v>RECIPE_VER</v>
      </c>
      <c r="K12" s="1" t="str">
        <f t="shared" si="1"/>
        <v>NVARCHAR2</v>
      </c>
      <c r="L12" s="1" t="str">
        <f t="shared" si="2"/>
        <v>(</v>
      </c>
      <c r="M12" s="1">
        <f t="shared" si="3"/>
        <v>20</v>
      </c>
      <c r="N12" s="1" t="str">
        <f t="shared" si="4"/>
        <v>)</v>
      </c>
      <c r="O12" s="1" t="str">
        <f t="shared" si="5"/>
        <v/>
      </c>
      <c r="P12" s="1" t="str">
        <f t="shared" si="6"/>
        <v>NULL</v>
      </c>
      <c r="Q12" s="1" t="s">
        <v>113</v>
      </c>
      <c r="R12" s="1"/>
      <c r="S12" s="1" t="str">
        <f>"COMMENT ON COLUMN " &amp; C3 &amp; "." &amp; C12 &amp; " IS '" &amp; B12 &amp; "'"</f>
        <v>COMMENT ON COLUMN MIX_WORK_ORDER.RECIPE_VER IS '레시피버전'</v>
      </c>
    </row>
    <row r="13" spans="1:19" x14ac:dyDescent="0.3">
      <c r="A13" s="2"/>
      <c r="B13" s="12" t="s">
        <v>689</v>
      </c>
      <c r="C13" s="2" t="s">
        <v>306</v>
      </c>
      <c r="D13" s="2"/>
      <c r="E13" s="12" t="s">
        <v>546</v>
      </c>
      <c r="F13" s="2">
        <v>10</v>
      </c>
      <c r="G13" s="12" t="s">
        <v>565</v>
      </c>
      <c r="H13" s="12"/>
      <c r="I13" s="1"/>
      <c r="J13" s="1" t="str">
        <f>""&amp;C13&amp;""</f>
        <v>BATCH_QTY</v>
      </c>
      <c r="K13" s="1" t="str">
        <f>""&amp;E13&amp;""</f>
        <v>NUMBER</v>
      </c>
      <c r="L13" s="1" t="str">
        <f>IF(F13="","","(")</f>
        <v>(</v>
      </c>
      <c r="M13" s="1">
        <f>IF(F13="","",F13)</f>
        <v>10</v>
      </c>
      <c r="N13" s="1" t="str">
        <f>IF(F13="","",")")</f>
        <v>)</v>
      </c>
      <c r="O13" s="1" t="str">
        <f t="shared" si="5"/>
        <v/>
      </c>
      <c r="P13" s="1" t="str">
        <f>IF(G13="N","NOT NULL","NULL")</f>
        <v>NULL</v>
      </c>
      <c r="Q13" s="1" t="s">
        <v>113</v>
      </c>
      <c r="R13" s="1"/>
      <c r="S13" s="1" t="str">
        <f>"COMMENT ON COLUMN " &amp; C3 &amp; "." &amp; C13 &amp; " IS '" &amp; B13 &amp; "'"</f>
        <v>COMMENT ON COLUMN MIX_WORK_ORDER.BATCH_QTY IS '배치량'</v>
      </c>
    </row>
    <row r="14" spans="1:19" x14ac:dyDescent="0.3">
      <c r="A14" s="2"/>
      <c r="B14" s="12" t="s">
        <v>690</v>
      </c>
      <c r="C14" s="12" t="s">
        <v>686</v>
      </c>
      <c r="D14" s="2"/>
      <c r="E14" s="12" t="s">
        <v>546</v>
      </c>
      <c r="F14" s="2">
        <v>3</v>
      </c>
      <c r="G14" s="12" t="s">
        <v>565</v>
      </c>
      <c r="H14" s="12"/>
      <c r="I14" s="1"/>
      <c r="J14" s="1" t="str">
        <f t="shared" si="0"/>
        <v>BATCH_CNT</v>
      </c>
      <c r="K14" s="1" t="str">
        <f t="shared" si="1"/>
        <v>NUMBER</v>
      </c>
      <c r="L14" s="1" t="str">
        <f t="shared" si="2"/>
        <v>(</v>
      </c>
      <c r="M14" s="1">
        <f t="shared" si="3"/>
        <v>3</v>
      </c>
      <c r="N14" s="1" t="str">
        <f t="shared" si="4"/>
        <v>)</v>
      </c>
      <c r="O14" s="1" t="str">
        <f t="shared" si="5"/>
        <v/>
      </c>
      <c r="P14" s="1" t="str">
        <f t="shared" si="6"/>
        <v>NULL</v>
      </c>
      <c r="Q14" s="1" t="s">
        <v>113</v>
      </c>
      <c r="R14" s="1"/>
      <c r="S14" s="1" t="str">
        <f>"COMMENT ON COLUMN " &amp; C3 &amp; "." &amp; C14 &amp; " IS '" &amp; B14 &amp; "'"</f>
        <v>COMMENT ON COLUMN MIX_WORK_ORDER.BATCH_CNT IS '배치수'</v>
      </c>
    </row>
    <row r="15" spans="1:19" x14ac:dyDescent="0.3">
      <c r="A15" s="2"/>
      <c r="B15" s="12" t="s">
        <v>691</v>
      </c>
      <c r="C15" s="12" t="s">
        <v>692</v>
      </c>
      <c r="D15" s="2"/>
      <c r="E15" s="12" t="s">
        <v>563</v>
      </c>
      <c r="F15" s="2">
        <v>1</v>
      </c>
      <c r="G15" s="12" t="s">
        <v>565</v>
      </c>
      <c r="H15" s="12"/>
      <c r="I15" s="1"/>
      <c r="J15" s="1" t="str">
        <f t="shared" si="0"/>
        <v>REPROCESS_YN</v>
      </c>
      <c r="K15" s="1" t="str">
        <f t="shared" si="1"/>
        <v>CHAR</v>
      </c>
      <c r="L15" s="1" t="str">
        <f t="shared" si="2"/>
        <v>(</v>
      </c>
      <c r="M15" s="1">
        <f t="shared" si="3"/>
        <v>1</v>
      </c>
      <c r="N15" s="1" t="str">
        <f t="shared" si="4"/>
        <v>)</v>
      </c>
      <c r="O15" s="1" t="str">
        <f t="shared" si="5"/>
        <v/>
      </c>
      <c r="P15" s="1" t="str">
        <f t="shared" si="6"/>
        <v>NULL</v>
      </c>
      <c r="Q15" s="1" t="s">
        <v>113</v>
      </c>
      <c r="R15" s="1"/>
      <c r="S15" s="1" t="str">
        <f>"COMMENT ON COLUMN " &amp; C3 &amp; "." &amp; C15 &amp; " IS '" &amp; B15 &amp; "'"</f>
        <v>COMMENT ON COLUMN MIX_WORK_ORDER.REPROCESS_YN IS '재가공여부'</v>
      </c>
    </row>
    <row r="16" spans="1:19" x14ac:dyDescent="0.3">
      <c r="A16" s="2"/>
      <c r="B16" s="2" t="s">
        <v>26</v>
      </c>
      <c r="C16" s="12" t="s">
        <v>687</v>
      </c>
      <c r="D16" s="2"/>
      <c r="E16" s="2" t="s">
        <v>618</v>
      </c>
      <c r="F16" s="2">
        <v>10</v>
      </c>
      <c r="G16" s="12" t="s">
        <v>565</v>
      </c>
      <c r="H16" s="12"/>
      <c r="I16" s="1"/>
      <c r="J16" s="1" t="str">
        <f t="shared" si="0"/>
        <v>TAGET_BIN</v>
      </c>
      <c r="K16" s="1" t="str">
        <f t="shared" si="1"/>
        <v>NVARCHAR2</v>
      </c>
      <c r="L16" s="1" t="str">
        <f t="shared" si="2"/>
        <v>(</v>
      </c>
      <c r="M16" s="1">
        <f t="shared" si="3"/>
        <v>10</v>
      </c>
      <c r="N16" s="1" t="str">
        <f t="shared" si="4"/>
        <v>)</v>
      </c>
      <c r="O16" s="1" t="str">
        <f t="shared" si="5"/>
        <v/>
      </c>
      <c r="P16" s="1" t="str">
        <f t="shared" si="6"/>
        <v>NULL</v>
      </c>
      <c r="Q16" s="1" t="s">
        <v>113</v>
      </c>
      <c r="R16" s="1"/>
      <c r="S16" s="1" t="str">
        <f>"COMMENT ON COLUMN " &amp; C3 &amp; "." &amp; C16 &amp; " IS '" &amp; B16 &amp; "'"</f>
        <v>COMMENT ON COLUMN MIX_WORK_ORDER.TAGET_BIN IS '목적빈'</v>
      </c>
    </row>
    <row r="17" spans="1:19" x14ac:dyDescent="0.3">
      <c r="A17" s="2"/>
      <c r="B17" s="2" t="s">
        <v>49</v>
      </c>
      <c r="C17" s="12" t="s">
        <v>688</v>
      </c>
      <c r="D17" s="2"/>
      <c r="E17" s="2" t="s">
        <v>618</v>
      </c>
      <c r="F17" s="2">
        <v>10</v>
      </c>
      <c r="G17" s="12" t="s">
        <v>565</v>
      </c>
      <c r="H17" s="12"/>
      <c r="I17" s="1"/>
      <c r="J17" s="1" t="str">
        <f t="shared" si="0"/>
        <v>TAGET_BIN2</v>
      </c>
      <c r="K17" s="1" t="str">
        <f t="shared" si="1"/>
        <v>NVARCHAR2</v>
      </c>
      <c r="L17" s="1" t="str">
        <f t="shared" si="2"/>
        <v>(</v>
      </c>
      <c r="M17" s="1">
        <f t="shared" si="3"/>
        <v>10</v>
      </c>
      <c r="N17" s="1" t="str">
        <f t="shared" si="4"/>
        <v>)</v>
      </c>
      <c r="O17" s="1" t="str">
        <f t="shared" si="5"/>
        <v/>
      </c>
      <c r="P17" s="1" t="str">
        <f t="shared" si="6"/>
        <v>NULL</v>
      </c>
      <c r="Q17" s="1" t="s">
        <v>113</v>
      </c>
      <c r="R17" s="1"/>
      <c r="S17" s="1" t="str">
        <f>"COMMENT ON COLUMN " &amp; C3 &amp; "." &amp; C17 &amp; " IS '" &amp; B17 &amp; "'"</f>
        <v>COMMENT ON COLUMN MIX_WORK_ORDER.TAGET_BIN2 IS '목적빈2'</v>
      </c>
    </row>
    <row r="18" spans="1:19" x14ac:dyDescent="0.3">
      <c r="A18" s="2"/>
      <c r="B18" s="2" t="s">
        <v>29</v>
      </c>
      <c r="C18" s="2" t="s">
        <v>54</v>
      </c>
      <c r="D18" s="2"/>
      <c r="E18" s="12" t="s">
        <v>546</v>
      </c>
      <c r="F18" s="2">
        <v>3</v>
      </c>
      <c r="G18" s="12" t="s">
        <v>565</v>
      </c>
      <c r="H18" s="12"/>
      <c r="I18" s="1"/>
      <c r="J18" s="1" t="str">
        <f t="shared" si="0"/>
        <v>RUN_BATCH</v>
      </c>
      <c r="K18" s="1" t="str">
        <f t="shared" si="1"/>
        <v>NUMBER</v>
      </c>
      <c r="L18" s="1" t="str">
        <f t="shared" si="2"/>
        <v>(</v>
      </c>
      <c r="M18" s="1">
        <f t="shared" si="3"/>
        <v>3</v>
      </c>
      <c r="N18" s="1" t="str">
        <f t="shared" si="4"/>
        <v>)</v>
      </c>
      <c r="O18" s="1" t="str">
        <f t="shared" si="5"/>
        <v/>
      </c>
      <c r="P18" s="1" t="str">
        <f t="shared" si="6"/>
        <v>NULL</v>
      </c>
      <c r="Q18" s="1" t="s">
        <v>113</v>
      </c>
      <c r="R18" s="1"/>
      <c r="S18" s="1" t="str">
        <f>"COMMENT ON COLUMN " &amp; C3 &amp; "." &amp; C18 &amp; " IS '" &amp; B18 &amp; "'"</f>
        <v>COMMENT ON COLUMN MIX_WORK_ORDER.RUN_BATCH IS '진행배치'</v>
      </c>
    </row>
    <row r="19" spans="1:19" x14ac:dyDescent="0.3">
      <c r="A19" s="12"/>
      <c r="B19" s="12" t="s">
        <v>693</v>
      </c>
      <c r="C19" s="12" t="s">
        <v>694</v>
      </c>
      <c r="D19" s="2"/>
      <c r="E19" s="2" t="s">
        <v>618</v>
      </c>
      <c r="F19" s="2">
        <v>10</v>
      </c>
      <c r="G19" s="12" t="s">
        <v>565</v>
      </c>
      <c r="H19" s="12"/>
      <c r="I19" s="1"/>
      <c r="J19" s="1" t="str">
        <f t="shared" si="0"/>
        <v>SHIFT_CODE</v>
      </c>
      <c r="K19" s="1" t="str">
        <f t="shared" si="1"/>
        <v>NVARCHAR2</v>
      </c>
      <c r="L19" s="1" t="str">
        <f t="shared" si="2"/>
        <v>(</v>
      </c>
      <c r="M19" s="1">
        <f t="shared" si="3"/>
        <v>10</v>
      </c>
      <c r="N19" s="1" t="str">
        <f t="shared" si="4"/>
        <v>)</v>
      </c>
      <c r="O19" s="1" t="str">
        <f t="shared" si="5"/>
        <v/>
      </c>
      <c r="P19" s="1" t="str">
        <f t="shared" si="6"/>
        <v>NULL</v>
      </c>
      <c r="Q19" s="1" t="s">
        <v>113</v>
      </c>
      <c r="R19" s="1"/>
      <c r="S19" s="1" t="str">
        <f>"COMMENT ON COLUMN " &amp; C3 &amp; "." &amp; C19 &amp; " IS '" &amp; B19 &amp; "'"</f>
        <v>COMMENT ON COLUMN MIX_WORK_ORDER.SHIFT_CODE IS '교대조'</v>
      </c>
    </row>
    <row r="20" spans="1:19" x14ac:dyDescent="0.3">
      <c r="A20" s="2"/>
      <c r="B20" s="12" t="s">
        <v>695</v>
      </c>
      <c r="C20" s="12" t="s">
        <v>696</v>
      </c>
      <c r="D20" s="2"/>
      <c r="E20" s="2" t="s">
        <v>618</v>
      </c>
      <c r="F20" s="2">
        <v>20</v>
      </c>
      <c r="G20" s="12" t="s">
        <v>565</v>
      </c>
      <c r="H20" s="12"/>
      <c r="I20" s="1"/>
      <c r="J20" s="1" t="str">
        <f t="shared" si="0"/>
        <v>WORKER</v>
      </c>
      <c r="K20" s="1" t="str">
        <f t="shared" si="1"/>
        <v>NVARCHAR2</v>
      </c>
      <c r="L20" s="1" t="str">
        <f t="shared" si="2"/>
        <v>(</v>
      </c>
      <c r="M20" s="1">
        <f t="shared" si="3"/>
        <v>20</v>
      </c>
      <c r="N20" s="1" t="str">
        <f t="shared" si="4"/>
        <v>)</v>
      </c>
      <c r="O20" s="1" t="str">
        <f t="shared" si="5"/>
        <v/>
      </c>
      <c r="P20" s="1" t="str">
        <f t="shared" si="6"/>
        <v>NULL</v>
      </c>
      <c r="Q20" s="1" t="s">
        <v>113</v>
      </c>
      <c r="R20" s="1"/>
      <c r="S20" s="1" t="str">
        <f>"COMMENT ON COLUMN " &amp; C3 &amp; "." &amp; C20 &amp; " IS '" &amp; B20 &amp; "'"</f>
        <v>COMMENT ON COLUMN MIX_WORK_ORDER.WORKER IS '작업자'</v>
      </c>
    </row>
    <row r="21" spans="1:19" x14ac:dyDescent="0.3">
      <c r="A21" s="2"/>
      <c r="B21" s="2" t="s">
        <v>18</v>
      </c>
      <c r="C21" s="2" t="s">
        <v>301</v>
      </c>
      <c r="D21" s="2"/>
      <c r="E21" s="12" t="s">
        <v>546</v>
      </c>
      <c r="F21" s="12" t="s">
        <v>700</v>
      </c>
      <c r="G21" s="12" t="s">
        <v>565</v>
      </c>
      <c r="H21" s="12"/>
      <c r="I21" s="1"/>
      <c r="J21" s="1" t="str">
        <f t="shared" si="0"/>
        <v>ORDER_QTY</v>
      </c>
      <c r="K21" s="1" t="str">
        <f t="shared" si="1"/>
        <v>NUMBER</v>
      </c>
      <c r="L21" s="1" t="str">
        <f t="shared" si="2"/>
        <v>(</v>
      </c>
      <c r="M21" s="1" t="str">
        <f t="shared" si="3"/>
        <v>13, 3</v>
      </c>
      <c r="N21" s="1" t="str">
        <f t="shared" si="4"/>
        <v>)</v>
      </c>
      <c r="O21" s="1" t="str">
        <f t="shared" si="5"/>
        <v/>
      </c>
      <c r="P21" s="1" t="str">
        <f t="shared" si="6"/>
        <v>NULL</v>
      </c>
      <c r="Q21" s="1" t="s">
        <v>113</v>
      </c>
      <c r="R21" s="1"/>
      <c r="S21" s="1" t="str">
        <f>"COMMENT ON COLUMN " &amp; C3 &amp; "." &amp; C21 &amp; " IS '" &amp; B21 &amp; "'"</f>
        <v>COMMENT ON COLUMN MIX_WORK_ORDER.ORDER_QTY IS '지시량'</v>
      </c>
    </row>
    <row r="22" spans="1:19" x14ac:dyDescent="0.3">
      <c r="A22" s="2"/>
      <c r="B22" s="2" t="s">
        <v>23</v>
      </c>
      <c r="C22" s="2" t="s">
        <v>56</v>
      </c>
      <c r="D22" s="2"/>
      <c r="E22" s="12" t="s">
        <v>546</v>
      </c>
      <c r="F22" s="12" t="s">
        <v>700</v>
      </c>
      <c r="G22" s="12" t="s">
        <v>565</v>
      </c>
      <c r="H22" s="12"/>
      <c r="I22" s="1"/>
      <c r="J22" s="1" t="str">
        <f t="shared" si="0"/>
        <v>PROD_QTY</v>
      </c>
      <c r="K22" s="1" t="str">
        <f t="shared" si="1"/>
        <v>NUMBER</v>
      </c>
      <c r="L22" s="1" t="str">
        <f t="shared" si="2"/>
        <v>(</v>
      </c>
      <c r="M22" s="1" t="str">
        <f t="shared" si="3"/>
        <v>13, 3</v>
      </c>
      <c r="N22" s="1" t="str">
        <f t="shared" si="4"/>
        <v>)</v>
      </c>
      <c r="O22" s="1" t="str">
        <f t="shared" si="5"/>
        <v/>
      </c>
      <c r="P22" s="1" t="str">
        <f t="shared" si="6"/>
        <v>NULL</v>
      </c>
      <c r="Q22" s="1" t="s">
        <v>113</v>
      </c>
      <c r="R22" s="1"/>
      <c r="S22" s="1" t="str">
        <f>"COMMENT ON COLUMN " &amp; C3 &amp; "." &amp; C22 &amp; " IS '" &amp; B22 &amp; "'"</f>
        <v>COMMENT ON COLUMN MIX_WORK_ORDER.PROD_QTY IS '생산량'</v>
      </c>
    </row>
    <row r="23" spans="1:19" x14ac:dyDescent="0.3">
      <c r="A23" s="2"/>
      <c r="B23" s="2" t="s">
        <v>36</v>
      </c>
      <c r="C23" s="2" t="s">
        <v>302</v>
      </c>
      <c r="D23" s="2"/>
      <c r="E23" s="2" t="s">
        <v>618</v>
      </c>
      <c r="F23" s="2">
        <v>10</v>
      </c>
      <c r="G23" s="12" t="s">
        <v>565</v>
      </c>
      <c r="H23" s="12"/>
      <c r="I23" s="1"/>
      <c r="J23" s="1" t="str">
        <f t="shared" si="0"/>
        <v>WORK_STATE</v>
      </c>
      <c r="K23" s="1" t="str">
        <f t="shared" si="1"/>
        <v>NVARCHAR2</v>
      </c>
      <c r="L23" s="1" t="str">
        <f t="shared" si="2"/>
        <v>(</v>
      </c>
      <c r="M23" s="1">
        <f t="shared" si="3"/>
        <v>10</v>
      </c>
      <c r="N23" s="1" t="str">
        <f t="shared" si="4"/>
        <v>)</v>
      </c>
      <c r="O23" s="1" t="str">
        <f t="shared" si="5"/>
        <v/>
      </c>
      <c r="P23" s="1" t="str">
        <f t="shared" si="6"/>
        <v>NULL</v>
      </c>
      <c r="Q23" s="1" t="s">
        <v>113</v>
      </c>
      <c r="R23" s="1"/>
      <c r="S23" s="1" t="str">
        <f>"COMMENT ON COLUMN " &amp; C3 &amp; "." &amp; C23 &amp; " IS '" &amp; B23 &amp; "'"</f>
        <v>COMMENT ON COLUMN MIX_WORK_ORDER.WORK_STATE IS '작업상태'</v>
      </c>
    </row>
    <row r="24" spans="1:19" x14ac:dyDescent="0.3">
      <c r="A24" s="2"/>
      <c r="B24" s="2" t="s">
        <v>31</v>
      </c>
      <c r="C24" s="2" t="s">
        <v>304</v>
      </c>
      <c r="D24" s="2"/>
      <c r="E24" s="12" t="s">
        <v>587</v>
      </c>
      <c r="F24" s="2"/>
      <c r="G24" s="12" t="s">
        <v>565</v>
      </c>
      <c r="H24" s="12" t="s">
        <v>570</v>
      </c>
      <c r="I24" s="1"/>
      <c r="J24" s="1" t="str">
        <f t="shared" si="0"/>
        <v>START_TIME</v>
      </c>
      <c r="K24" s="1" t="str">
        <f t="shared" si="1"/>
        <v>DATE</v>
      </c>
      <c r="L24" s="1" t="str">
        <f t="shared" si="2"/>
        <v/>
      </c>
      <c r="M24" s="1" t="str">
        <f t="shared" si="3"/>
        <v/>
      </c>
      <c r="N24" s="1" t="str">
        <f t="shared" si="4"/>
        <v/>
      </c>
      <c r="O24" s="1" t="str">
        <f t="shared" si="5"/>
        <v>DEFAULT SYSDATE</v>
      </c>
      <c r="P24" s="1" t="str">
        <f t="shared" si="6"/>
        <v>NULL</v>
      </c>
      <c r="Q24" s="1" t="s">
        <v>113</v>
      </c>
      <c r="R24" s="1"/>
      <c r="S24" s="1" t="str">
        <f>"COMMENT ON COLUMN " &amp; C3 &amp; "." &amp; C24 &amp; " IS '" &amp; B24 &amp; "'"</f>
        <v>COMMENT ON COLUMN MIX_WORK_ORDER.START_TIME IS '사작시간'</v>
      </c>
    </row>
    <row r="25" spans="1:19" x14ac:dyDescent="0.3">
      <c r="A25" s="2"/>
      <c r="B25" s="2" t="s">
        <v>37</v>
      </c>
      <c r="C25" s="2" t="s">
        <v>300</v>
      </c>
      <c r="D25" s="2"/>
      <c r="E25" s="12" t="s">
        <v>587</v>
      </c>
      <c r="F25" s="2"/>
      <c r="G25" s="12" t="s">
        <v>565</v>
      </c>
      <c r="H25" s="12"/>
      <c r="I25" s="1"/>
      <c r="J25" s="1" t="str">
        <f t="shared" si="0"/>
        <v>END_TIME</v>
      </c>
      <c r="K25" s="1" t="str">
        <f t="shared" si="1"/>
        <v>DATE</v>
      </c>
      <c r="L25" s="1" t="str">
        <f t="shared" si="2"/>
        <v/>
      </c>
      <c r="M25" s="1" t="str">
        <f t="shared" si="3"/>
        <v/>
      </c>
      <c r="N25" s="1" t="str">
        <f t="shared" si="4"/>
        <v/>
      </c>
      <c r="O25" s="1" t="str">
        <f t="shared" si="5"/>
        <v/>
      </c>
      <c r="P25" s="1" t="str">
        <f t="shared" si="6"/>
        <v>NULL</v>
      </c>
      <c r="Q25" s="1" t="s">
        <v>113</v>
      </c>
      <c r="R25" s="1"/>
      <c r="S25" s="1" t="str">
        <f>"COMMENT ON COLUMN " &amp; C3 &amp; "." &amp; C25 &amp; " IS '" &amp; B25 &amp; "'"</f>
        <v>COMMENT ON COLUMN MIX_WORK_ORDER.END_TIME IS '종료시간'</v>
      </c>
    </row>
    <row r="26" spans="1:19" x14ac:dyDescent="0.3">
      <c r="A26" s="2"/>
      <c r="B26" s="12" t="s">
        <v>697</v>
      </c>
      <c r="C26" s="12" t="s">
        <v>639</v>
      </c>
      <c r="D26" s="2"/>
      <c r="E26" s="2" t="s">
        <v>618</v>
      </c>
      <c r="F26" s="2">
        <v>250</v>
      </c>
      <c r="G26" s="12" t="s">
        <v>565</v>
      </c>
      <c r="H26" s="12"/>
      <c r="I26" s="1"/>
      <c r="J26" s="1" t="str">
        <f t="shared" si="0"/>
        <v>REMARKS</v>
      </c>
      <c r="K26" s="1" t="str">
        <f t="shared" si="1"/>
        <v>NVARCHAR2</v>
      </c>
      <c r="L26" s="1" t="str">
        <f t="shared" si="2"/>
        <v>(</v>
      </c>
      <c r="M26" s="1">
        <f t="shared" si="3"/>
        <v>250</v>
      </c>
      <c r="N26" s="1" t="str">
        <f t="shared" si="4"/>
        <v>)</v>
      </c>
      <c r="O26" s="1" t="str">
        <f t="shared" si="5"/>
        <v/>
      </c>
      <c r="P26" s="1" t="str">
        <f t="shared" si="6"/>
        <v>NULL</v>
      </c>
      <c r="Q26" s="1" t="s">
        <v>113</v>
      </c>
      <c r="R26" s="1"/>
      <c r="S26" s="1" t="str">
        <f>"COMMENT ON COLUMN " &amp; C3 &amp; "." &amp; C26 &amp; " IS '" &amp; B26 &amp; "'"</f>
        <v>COMMENT ON COLUMN MIX_WORK_ORDER.REMARKS IS '전달사항'</v>
      </c>
    </row>
    <row r="27" spans="1:19" x14ac:dyDescent="0.3">
      <c r="A27" s="2"/>
      <c r="B27" s="12" t="s">
        <v>698</v>
      </c>
      <c r="C27" s="12" t="s">
        <v>699</v>
      </c>
      <c r="D27" s="2"/>
      <c r="E27" s="12" t="s">
        <v>563</v>
      </c>
      <c r="F27" s="2">
        <v>1</v>
      </c>
      <c r="G27" s="12" t="s">
        <v>565</v>
      </c>
      <c r="H27" s="12" t="s">
        <v>564</v>
      </c>
      <c r="I27" s="1"/>
      <c r="J27" s="1" t="str">
        <f t="shared" si="0"/>
        <v>DEL_YN</v>
      </c>
      <c r="K27" s="1" t="str">
        <f t="shared" si="1"/>
        <v>CHAR</v>
      </c>
      <c r="L27" s="1" t="str">
        <f t="shared" si="2"/>
        <v>(</v>
      </c>
      <c r="M27" s="1">
        <f t="shared" si="3"/>
        <v>1</v>
      </c>
      <c r="N27" s="1" t="str">
        <f t="shared" si="4"/>
        <v>)</v>
      </c>
      <c r="O27" s="1" t="str">
        <f t="shared" si="5"/>
        <v>DEFAULT N</v>
      </c>
      <c r="P27" s="1" t="str">
        <f t="shared" si="6"/>
        <v>NULL</v>
      </c>
      <c r="Q27" s="1" t="s">
        <v>113</v>
      </c>
      <c r="R27" s="1"/>
      <c r="S27" s="1" t="str">
        <f>"COMMENT ON COLUMN " &amp; C3 &amp; "." &amp; C27 &amp; " IS '" &amp; B27 &amp; "'"</f>
        <v>COMMENT ON COLUMN MIX_WORK_ORDER.DEL_YN IS '삭제여부'</v>
      </c>
    </row>
    <row r="28" spans="1:19" x14ac:dyDescent="0.3">
      <c r="A28" s="2"/>
      <c r="B28" s="2" t="s">
        <v>111</v>
      </c>
      <c r="C28" s="2" t="s">
        <v>790</v>
      </c>
      <c r="D28" s="2" t="s">
        <v>188</v>
      </c>
      <c r="E28" s="2" t="s">
        <v>618</v>
      </c>
      <c r="F28" s="2">
        <v>20</v>
      </c>
      <c r="G28" s="2" t="s">
        <v>90</v>
      </c>
      <c r="H28" s="15"/>
      <c r="I28" s="1"/>
      <c r="J28" s="1" t="str">
        <f>""&amp;C28&amp;""</f>
        <v>INITBY</v>
      </c>
      <c r="K28" s="1" t="str">
        <f>""&amp;E28&amp;""</f>
        <v>NVARCHAR2</v>
      </c>
      <c r="L28" s="1" t="str">
        <f t="shared" si="2"/>
        <v>(</v>
      </c>
      <c r="M28" s="1">
        <f t="shared" si="3"/>
        <v>20</v>
      </c>
      <c r="N28" s="1" t="str">
        <f t="shared" si="4"/>
        <v>)</v>
      </c>
      <c r="O28" s="1" t="str">
        <f t="shared" si="5"/>
        <v/>
      </c>
      <c r="P28" s="1" t="str">
        <f t="shared" si="6"/>
        <v>NOT NULL</v>
      </c>
      <c r="Q28" s="1" t="s">
        <v>113</v>
      </c>
      <c r="R28" s="1"/>
      <c r="S28" s="1" t="str">
        <f>"COMMENT ON COLUMN " &amp; C3 &amp; "." &amp; C28 &amp; " IS '" &amp; B28 &amp; "'"</f>
        <v>COMMENT ON COLUMN MIX_WORK_ORDER.INITBY IS '입력자'</v>
      </c>
    </row>
    <row r="29" spans="1:19" x14ac:dyDescent="0.3">
      <c r="A29" s="2"/>
      <c r="B29" s="2" t="s">
        <v>254</v>
      </c>
      <c r="C29" s="2" t="s">
        <v>791</v>
      </c>
      <c r="D29" s="2" t="s">
        <v>254</v>
      </c>
      <c r="E29" s="2" t="s">
        <v>228</v>
      </c>
      <c r="F29" s="2"/>
      <c r="G29" s="2" t="s">
        <v>90</v>
      </c>
      <c r="H29" s="12" t="s">
        <v>570</v>
      </c>
      <c r="I29" s="1"/>
      <c r="J29" s="1" t="str">
        <f>""&amp;C29&amp;""</f>
        <v>INITDTTM</v>
      </c>
      <c r="K29" s="1" t="str">
        <f>""&amp;E29&amp;""</f>
        <v>DATE</v>
      </c>
      <c r="L29" s="1" t="str">
        <f t="shared" si="2"/>
        <v/>
      </c>
      <c r="M29" s="1" t="str">
        <f t="shared" si="3"/>
        <v/>
      </c>
      <c r="N29" s="1" t="str">
        <f t="shared" si="4"/>
        <v/>
      </c>
      <c r="O29" s="1" t="str">
        <f t="shared" si="5"/>
        <v>DEFAULT SYSDATE</v>
      </c>
      <c r="P29" s="1" t="str">
        <f t="shared" si="6"/>
        <v>NOT NULL</v>
      </c>
      <c r="Q29" s="1" t="s">
        <v>113</v>
      </c>
      <c r="R29" s="1"/>
      <c r="S29" s="1" t="str">
        <f>"COMMENT ON COLUMN " &amp; C3 &amp; "." &amp; C29 &amp; " IS '" &amp; B29 &amp; "'"</f>
        <v>COMMENT ON COLUMN MIX_WORK_ORDER.INITDTTM IS '입력일시'</v>
      </c>
    </row>
    <row r="30" spans="1:19" x14ac:dyDescent="0.3">
      <c r="A30" s="2"/>
      <c r="B30" s="2" t="s">
        <v>99</v>
      </c>
      <c r="C30" s="2" t="s">
        <v>793</v>
      </c>
      <c r="D30" s="2" t="s">
        <v>197</v>
      </c>
      <c r="E30" s="2" t="s">
        <v>618</v>
      </c>
      <c r="F30" s="2">
        <v>20</v>
      </c>
      <c r="G30" s="2" t="s">
        <v>122</v>
      </c>
      <c r="H30" s="15"/>
      <c r="I30" s="1"/>
      <c r="J30" s="1" t="str">
        <f>""&amp;C30&amp;""</f>
        <v>UPBY</v>
      </c>
      <c r="K30" s="1" t="str">
        <f>""&amp;E30&amp;""</f>
        <v>NVARCHAR2</v>
      </c>
      <c r="L30" s="1" t="str">
        <f t="shared" si="2"/>
        <v>(</v>
      </c>
      <c r="M30" s="1">
        <f t="shared" si="3"/>
        <v>20</v>
      </c>
      <c r="N30" s="1" t="str">
        <f t="shared" si="4"/>
        <v>)</v>
      </c>
      <c r="O30" s="1" t="str">
        <f t="shared" si="5"/>
        <v/>
      </c>
      <c r="P30" s="1" t="str">
        <f t="shared" si="6"/>
        <v>NULL</v>
      </c>
      <c r="Q30" s="1" t="s">
        <v>113</v>
      </c>
      <c r="R30" s="1"/>
      <c r="S30" s="1" t="str">
        <f>"COMMENT ON COLUMN " &amp; C3 &amp; "." &amp; C30 &amp; " IS '" &amp; B30 &amp; "'"</f>
        <v>COMMENT ON COLUMN MIX_WORK_ORDER.UPBY IS '수정자'</v>
      </c>
    </row>
    <row r="31" spans="1:19" x14ac:dyDescent="0.3">
      <c r="A31" s="2"/>
      <c r="B31" s="2" t="s">
        <v>259</v>
      </c>
      <c r="C31" s="2" t="s">
        <v>792</v>
      </c>
      <c r="D31" s="2" t="s">
        <v>259</v>
      </c>
      <c r="E31" s="2" t="s">
        <v>228</v>
      </c>
      <c r="F31" s="2"/>
      <c r="G31" s="2" t="s">
        <v>122</v>
      </c>
      <c r="H31" s="12"/>
      <c r="I31" s="1"/>
      <c r="J31" s="1" t="str">
        <f>""&amp;C31&amp;""</f>
        <v>UPDTTM</v>
      </c>
      <c r="K31" s="1" t="str">
        <f>""&amp;E31&amp;""</f>
        <v>DATE</v>
      </c>
      <c r="L31" s="1" t="str">
        <f t="shared" si="2"/>
        <v/>
      </c>
      <c r="M31" s="1" t="str">
        <f t="shared" si="3"/>
        <v/>
      </c>
      <c r="N31" s="1" t="str">
        <f t="shared" si="4"/>
        <v/>
      </c>
      <c r="O31" s="1" t="str">
        <f t="shared" si="5"/>
        <v/>
      </c>
      <c r="P31" s="1" t="str">
        <f t="shared" si="6"/>
        <v>NULL</v>
      </c>
      <c r="Q31" s="21" t="s">
        <v>723</v>
      </c>
      <c r="R31" s="1"/>
      <c r="S31" s="1" t="str">
        <f>"COMMENT ON COLUMN " &amp; C3 &amp; "." &amp; C31 &amp; " IS '" &amp; B31 &amp; "'"</f>
        <v>COMMENT ON COLUMN MIX_WORK_ORDER.UPDTTM IS '수정일시'</v>
      </c>
    </row>
    <row r="32" spans="1:19" x14ac:dyDescent="0.3">
      <c r="J32" s="13" t="str">
        <f>"ALTER TABLE "&amp;C3&amp;""</f>
        <v>ALTER TABLE MIX_WORK_ORDER</v>
      </c>
    </row>
    <row r="33" spans="10:10" x14ac:dyDescent="0.3">
      <c r="J33" s="13" t="str" cm="1">
        <f t="array" ref="J33">"ADD CONSTRAINT PK_"&amp;C3&amp;" PRIMARY KEY (" &amp; _xlfn.TEXTJOIN(", ", TRUE, _xlfn._xlws.FILTER(C6:C76, A6:A76="Y")) &amp; ")"</f>
        <v>ADD CONSTRAINT PK_MIX_WORK_ORDER PRIMARY KEY (PLANT_CODE, PROCESS_CODE, LINE_CODE, WORK_DATE, WORK_NUM)</v>
      </c>
    </row>
  </sheetData>
  <phoneticPr fontId="7" type="noConversion"/>
  <hyperlinks>
    <hyperlink ref="A1" location="리스트!A1" display="리스트로 이동" xr:uid="{D30210D6-929F-4F4A-BC0E-A7C04E9B43E1}"/>
  </hyperlinks>
  <pageMargins left="0.74805557727813721" right="0.74805557727813721" top="0.98430556058883667" bottom="0.98430556058883667" header="0.51166665554046631" footer="0.51166665554046631"/>
  <pageSetup paperSize="9" fitToWidth="0" fitToHeight="0" orientation="portrait" horizontalDpi="0" verticalDpi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F6425-048A-468B-844E-105CC7AE7BCF}">
  <dimension ref="A1:S21"/>
  <sheetViews>
    <sheetView zoomScaleNormal="100" zoomScaleSheetLayoutView="100" workbookViewId="0">
      <selection activeCell="J3" sqref="J3:Q3"/>
    </sheetView>
  </sheetViews>
  <sheetFormatPr defaultColWidth="9" defaultRowHeight="16.5" x14ac:dyDescent="0.3"/>
  <cols>
    <col min="1" max="1" width="8.625" bestFit="1" customWidth="1"/>
    <col min="2" max="2" width="13.75" bestFit="1" customWidth="1"/>
    <col min="3" max="3" width="14.125" bestFit="1" customWidth="1"/>
    <col min="4" max="4" width="19.375" bestFit="1" customWidth="1"/>
    <col min="5" max="5" width="12.75" bestFit="1" customWidth="1"/>
    <col min="6" max="6" width="6.75" bestFit="1" customWidth="1"/>
    <col min="7" max="7" width="9" bestFit="1" customWidth="1"/>
    <col min="8" max="8" width="9" customWidth="1"/>
    <col min="10" max="10" width="20.5" customWidth="1"/>
    <col min="11" max="11" width="16.875" customWidth="1"/>
    <col min="12" max="12" width="1.625" bestFit="1" customWidth="1"/>
    <col min="13" max="13" width="5.5" bestFit="1" customWidth="1"/>
    <col min="14" max="14" width="1.625" bestFit="1" customWidth="1"/>
    <col min="15" max="15" width="18.375" bestFit="1" customWidth="1"/>
    <col min="16" max="17" width="10.125" bestFit="1" customWidth="1"/>
    <col min="18" max="18" width="16.875" customWidth="1"/>
  </cols>
  <sheetData>
    <row r="1" spans="1:19" x14ac:dyDescent="0.3">
      <c r="A1" s="16" t="s">
        <v>615</v>
      </c>
    </row>
    <row r="2" spans="1:19" x14ac:dyDescent="0.3">
      <c r="A2" s="2"/>
      <c r="B2" s="2" t="s">
        <v>116</v>
      </c>
      <c r="C2" s="2" t="s">
        <v>119</v>
      </c>
      <c r="D2" s="2" t="s">
        <v>112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3">
      <c r="A3" s="2"/>
      <c r="B3" s="12" t="s">
        <v>735</v>
      </c>
      <c r="C3" s="12" t="s">
        <v>732</v>
      </c>
      <c r="D3" s="2"/>
      <c r="E3" s="1"/>
      <c r="F3" s="1"/>
      <c r="G3" s="1"/>
      <c r="H3" s="1"/>
      <c r="I3" s="1"/>
      <c r="J3" s="13" t="str">
        <f>"DROP TABLE "&amp;C3&amp;" CASCADE CONSTRAINTS PURGE"</f>
        <v>DROP TABLE MIX_SETTING CASCADE CONSTRAINTS PURGE</v>
      </c>
      <c r="K3" s="1"/>
      <c r="L3" s="1"/>
      <c r="M3" s="1"/>
      <c r="N3" s="1"/>
      <c r="O3" s="1"/>
      <c r="P3" s="21"/>
      <c r="Q3" s="21" t="s">
        <v>771</v>
      </c>
      <c r="R3" s="1"/>
      <c r="S3" s="1"/>
    </row>
    <row r="4" spans="1:19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3">
      <c r="A5" s="2" t="s">
        <v>88</v>
      </c>
      <c r="B5" s="2" t="s">
        <v>215</v>
      </c>
      <c r="C5" s="2" t="s">
        <v>252</v>
      </c>
      <c r="D5" s="2" t="s">
        <v>169</v>
      </c>
      <c r="E5" s="2" t="s">
        <v>265</v>
      </c>
      <c r="F5" s="2" t="s">
        <v>101</v>
      </c>
      <c r="G5" s="2" t="s">
        <v>205</v>
      </c>
      <c r="H5" s="12" t="s">
        <v>569</v>
      </c>
      <c r="I5" s="1"/>
      <c r="J5" s="1" t="str">
        <f>"CREATE TABLE "&amp;C3&amp;" ("</f>
        <v>CREATE TABLE MIX_SETTING (</v>
      </c>
      <c r="K5" s="1"/>
      <c r="L5" s="1"/>
      <c r="M5" s="1"/>
      <c r="N5" s="1"/>
      <c r="O5" s="1"/>
      <c r="P5" s="1"/>
      <c r="Q5" s="1"/>
      <c r="R5" s="1"/>
      <c r="S5" s="1" t="str">
        <f>"COMMENT ON TABLE " &amp; C3 &amp; " IS '" &amp; SUBSTITUTE(B3,"'","''") &amp; "'"</f>
        <v>COMMENT ON TABLE MIX_SETTING IS '배합 설정값'</v>
      </c>
    </row>
    <row r="6" spans="1:19" x14ac:dyDescent="0.3">
      <c r="A6" s="2" t="s">
        <v>122</v>
      </c>
      <c r="B6" s="2" t="s">
        <v>35</v>
      </c>
      <c r="C6" s="2" t="s">
        <v>528</v>
      </c>
      <c r="D6" s="2"/>
      <c r="E6" s="2" t="s">
        <v>618</v>
      </c>
      <c r="F6" s="2">
        <v>20</v>
      </c>
      <c r="G6" s="2" t="s">
        <v>90</v>
      </c>
      <c r="H6" s="12"/>
      <c r="I6" s="1"/>
      <c r="J6" s="1" t="str">
        <f>""&amp;C6&amp;""</f>
        <v>PLANT_CODE</v>
      </c>
      <c r="K6" s="1" t="str">
        <f>""&amp;E6&amp;""</f>
        <v>NVARCHAR2</v>
      </c>
      <c r="L6" s="1" t="str">
        <f>IF(F6="","","(")</f>
        <v>(</v>
      </c>
      <c r="M6" s="1">
        <f>IF(F6="","",F6)</f>
        <v>20</v>
      </c>
      <c r="N6" s="1" t="str">
        <f>IF(F6="","",")")</f>
        <v>)</v>
      </c>
      <c r="O6" s="1" t="str">
        <f>IF(H6&lt;&gt;"","DEFAULT "&amp;H6,"")</f>
        <v/>
      </c>
      <c r="P6" s="1" t="str">
        <f>IF(G6="N","NOT NULL","NULL")</f>
        <v>NOT NULL</v>
      </c>
      <c r="Q6" s="1" t="s">
        <v>113</v>
      </c>
      <c r="S6" s="1" t="str">
        <f>"COMMENT ON COLUMN " &amp; C3 &amp; "." &amp; C6 &amp; " IS '" &amp; B6 &amp; "'"</f>
        <v>COMMENT ON COLUMN MIX_SETTING.PLANT_CODE IS '고객사코드'</v>
      </c>
    </row>
    <row r="7" spans="1:19" x14ac:dyDescent="0.3">
      <c r="A7" s="2" t="s">
        <v>122</v>
      </c>
      <c r="B7" s="2" t="s">
        <v>245</v>
      </c>
      <c r="C7" s="2" t="s">
        <v>291</v>
      </c>
      <c r="D7" s="2"/>
      <c r="E7" s="2" t="s">
        <v>618</v>
      </c>
      <c r="F7" s="2">
        <v>20</v>
      </c>
      <c r="G7" s="2" t="s">
        <v>90</v>
      </c>
      <c r="H7" s="12"/>
      <c r="I7" s="1"/>
      <c r="J7" s="1" t="str">
        <f t="shared" ref="J7:J19" si="0">""&amp;C7&amp;""</f>
        <v>PROCESS_CODE</v>
      </c>
      <c r="K7" s="1" t="str">
        <f t="shared" ref="K7:K19" si="1">""&amp;E7&amp;""</f>
        <v>NVARCHAR2</v>
      </c>
      <c r="L7" s="1" t="str">
        <f t="shared" ref="L7:L19" si="2">IF(F7="","","(")</f>
        <v>(</v>
      </c>
      <c r="M7" s="1">
        <f t="shared" ref="M7:M19" si="3">IF(F7="","",F7)</f>
        <v>20</v>
      </c>
      <c r="N7" s="1" t="str">
        <f t="shared" ref="N7:N19" si="4">IF(F7="","",")")</f>
        <v>)</v>
      </c>
      <c r="O7" s="1" t="str">
        <f t="shared" ref="O7:O19" si="5">IF(H7&lt;&gt;"","DEFAULT "&amp;H7,"")</f>
        <v/>
      </c>
      <c r="P7" s="1" t="str">
        <f t="shared" ref="P7:P19" si="6">IF(G7="N","NOT NULL","NULL")</f>
        <v>NOT NULL</v>
      </c>
      <c r="Q7" s="1" t="s">
        <v>113</v>
      </c>
      <c r="S7" s="1" t="str">
        <f t="shared" ref="S7:S19" si="7">"COMMENT ON COLUMN " &amp; C4 &amp; "." &amp; C7 &amp; " IS '" &amp; B7 &amp; "'"</f>
        <v>COMMENT ON COLUMN .PROCESS_CODE IS '공정코드'</v>
      </c>
    </row>
    <row r="8" spans="1:19" x14ac:dyDescent="0.3">
      <c r="A8" s="12" t="s">
        <v>565</v>
      </c>
      <c r="B8" s="12" t="s">
        <v>684</v>
      </c>
      <c r="C8" s="12" t="s">
        <v>677</v>
      </c>
      <c r="D8" s="2"/>
      <c r="E8" s="2" t="s">
        <v>618</v>
      </c>
      <c r="F8" s="2">
        <v>10</v>
      </c>
      <c r="G8" s="12" t="s">
        <v>564</v>
      </c>
      <c r="H8" s="12"/>
      <c r="I8" s="1"/>
      <c r="J8" s="1" t="str">
        <f t="shared" si="0"/>
        <v>LINE_CODE</v>
      </c>
      <c r="K8" s="1" t="str">
        <f t="shared" si="1"/>
        <v>NVARCHAR2</v>
      </c>
      <c r="L8" s="1" t="str">
        <f t="shared" si="2"/>
        <v>(</v>
      </c>
      <c r="M8" s="1">
        <f t="shared" si="3"/>
        <v>10</v>
      </c>
      <c r="N8" s="1" t="str">
        <f t="shared" si="4"/>
        <v>)</v>
      </c>
      <c r="O8" s="1" t="str">
        <f t="shared" si="5"/>
        <v/>
      </c>
      <c r="P8" s="1" t="str">
        <f t="shared" si="6"/>
        <v>NOT NULL</v>
      </c>
      <c r="Q8" s="1" t="s">
        <v>113</v>
      </c>
      <c r="S8" s="1" t="str">
        <f t="shared" si="7"/>
        <v>COMMENT ON COLUMN 컬럼명영문.LINE_CODE IS '공정라인코드'</v>
      </c>
    </row>
    <row r="9" spans="1:19" x14ac:dyDescent="0.3">
      <c r="A9" s="2" t="s">
        <v>122</v>
      </c>
      <c r="B9" s="2" t="s">
        <v>317</v>
      </c>
      <c r="C9" s="2" t="s">
        <v>312</v>
      </c>
      <c r="D9" s="2"/>
      <c r="E9" s="2" t="s">
        <v>618</v>
      </c>
      <c r="F9" s="2">
        <v>10</v>
      </c>
      <c r="G9" s="2" t="s">
        <v>90</v>
      </c>
      <c r="H9" s="12"/>
      <c r="I9" s="1"/>
      <c r="J9" s="1" t="str">
        <f t="shared" si="0"/>
        <v>WORK_DATE</v>
      </c>
      <c r="K9" s="1" t="str">
        <f t="shared" si="1"/>
        <v>NVARCHAR2</v>
      </c>
      <c r="L9" s="1" t="str">
        <f t="shared" si="2"/>
        <v>(</v>
      </c>
      <c r="M9" s="1">
        <f t="shared" si="3"/>
        <v>10</v>
      </c>
      <c r="N9" s="1" t="str">
        <f t="shared" si="4"/>
        <v>)</v>
      </c>
      <c r="O9" s="1" t="str">
        <f t="shared" si="5"/>
        <v/>
      </c>
      <c r="P9" s="1" t="str">
        <f t="shared" si="6"/>
        <v>NOT NULL</v>
      </c>
      <c r="Q9" s="1" t="s">
        <v>113</v>
      </c>
      <c r="S9" s="1" t="str">
        <f t="shared" si="7"/>
        <v>COMMENT ON COLUMN PLANT_CODE.WORK_DATE IS '작업지시일'</v>
      </c>
    </row>
    <row r="10" spans="1:19" x14ac:dyDescent="0.3">
      <c r="A10" s="2" t="s">
        <v>122</v>
      </c>
      <c r="B10" s="2" t="s">
        <v>316</v>
      </c>
      <c r="C10" s="2" t="s">
        <v>313</v>
      </c>
      <c r="D10" s="2"/>
      <c r="E10" s="2" t="s">
        <v>545</v>
      </c>
      <c r="F10" s="2">
        <v>3</v>
      </c>
      <c r="G10" s="2" t="s">
        <v>90</v>
      </c>
      <c r="H10" s="12"/>
      <c r="I10" s="1"/>
      <c r="J10" s="1" t="str">
        <f t="shared" si="0"/>
        <v>WORK_NUM</v>
      </c>
      <c r="K10" s="1" t="str">
        <f t="shared" si="1"/>
        <v>NUMBER</v>
      </c>
      <c r="L10" s="1" t="str">
        <f t="shared" si="2"/>
        <v>(</v>
      </c>
      <c r="M10" s="1">
        <f t="shared" si="3"/>
        <v>3</v>
      </c>
      <c r="N10" s="1" t="str">
        <f t="shared" si="4"/>
        <v>)</v>
      </c>
      <c r="O10" s="1" t="str">
        <f t="shared" si="5"/>
        <v/>
      </c>
      <c r="P10" s="1" t="str">
        <f t="shared" si="6"/>
        <v>NOT NULL</v>
      </c>
      <c r="Q10" s="1" t="s">
        <v>113</v>
      </c>
      <c r="S10" s="1" t="str">
        <f t="shared" si="7"/>
        <v>COMMENT ON COLUMN PROCESS_CODE.WORK_NUM IS '작업지시순서'</v>
      </c>
    </row>
    <row r="11" spans="1:19" x14ac:dyDescent="0.3">
      <c r="A11" s="2"/>
      <c r="B11" s="12" t="s">
        <v>739</v>
      </c>
      <c r="C11" s="12" t="s">
        <v>740</v>
      </c>
      <c r="D11" s="2"/>
      <c r="E11" s="2" t="s">
        <v>618</v>
      </c>
      <c r="F11" s="2">
        <v>20</v>
      </c>
      <c r="G11" s="2"/>
      <c r="H11" s="12"/>
      <c r="I11" s="1"/>
      <c r="J11" s="1" t="str">
        <f t="shared" si="0"/>
        <v>SCALE_CODE</v>
      </c>
      <c r="K11" s="1" t="str">
        <f t="shared" si="1"/>
        <v>NVARCHAR2</v>
      </c>
      <c r="L11" s="1" t="str">
        <f t="shared" si="2"/>
        <v>(</v>
      </c>
      <c r="M11" s="1">
        <f t="shared" si="3"/>
        <v>20</v>
      </c>
      <c r="N11" s="1" t="str">
        <f t="shared" si="4"/>
        <v>)</v>
      </c>
      <c r="O11" s="1" t="str">
        <f t="shared" si="5"/>
        <v/>
      </c>
      <c r="P11" s="1" t="str">
        <f t="shared" si="6"/>
        <v>NULL</v>
      </c>
      <c r="Q11" s="1" t="s">
        <v>113</v>
      </c>
      <c r="S11" s="1" t="str">
        <f>"COMMENT ON COLUMN " &amp; C7 &amp; "." &amp; C11 &amp; " IS '" &amp; B11 &amp; "'"</f>
        <v>COMMENT ON COLUMN PROCESS_CODE.SCALE_CODE IS '스케일'</v>
      </c>
    </row>
    <row r="12" spans="1:19" x14ac:dyDescent="0.3">
      <c r="A12" s="2"/>
      <c r="B12" s="12" t="s">
        <v>738</v>
      </c>
      <c r="C12" s="12" t="s">
        <v>741</v>
      </c>
      <c r="D12" s="2"/>
      <c r="E12" s="2" t="s">
        <v>618</v>
      </c>
      <c r="F12" s="2">
        <v>20</v>
      </c>
      <c r="G12" s="2"/>
      <c r="H12" s="12"/>
      <c r="I12" s="1"/>
      <c r="J12" s="1" t="str">
        <f t="shared" ref="J12" si="8">""&amp;C12&amp;""</f>
        <v>BIN_CODE</v>
      </c>
      <c r="K12" s="1" t="str">
        <f t="shared" ref="K12" si="9">""&amp;E12&amp;""</f>
        <v>NVARCHAR2</v>
      </c>
      <c r="L12" s="1" t="str">
        <f t="shared" ref="L12" si="10">IF(F12="","","(")</f>
        <v>(</v>
      </c>
      <c r="M12" s="1">
        <f t="shared" ref="M12" si="11">IF(F12="","",F12)</f>
        <v>20</v>
      </c>
      <c r="N12" s="1" t="str">
        <f t="shared" ref="N12" si="12">IF(F12="","",")")</f>
        <v>)</v>
      </c>
      <c r="O12" s="1" t="str">
        <f t="shared" ref="O12" si="13">IF(H12&lt;&gt;"","DEFAULT "&amp;H12,"")</f>
        <v/>
      </c>
      <c r="P12" s="1" t="str">
        <f t="shared" ref="P12" si="14">IF(G12="N","NOT NULL","NULL")</f>
        <v>NULL</v>
      </c>
      <c r="Q12" s="1" t="s">
        <v>113</v>
      </c>
      <c r="S12" s="1" t="str">
        <f>"COMMENT ON COLUMN " &amp; C8 &amp; "." &amp; C12 &amp; " IS '" &amp; B12 &amp; "'"</f>
        <v>COMMENT ON COLUMN LINE_CODE.BIN_CODE IS '인출빈'</v>
      </c>
    </row>
    <row r="13" spans="1:19" x14ac:dyDescent="0.3">
      <c r="A13" s="2"/>
      <c r="B13" s="12" t="s">
        <v>640</v>
      </c>
      <c r="C13" s="12" t="s">
        <v>737</v>
      </c>
      <c r="D13" s="2"/>
      <c r="E13" s="2" t="s">
        <v>618</v>
      </c>
      <c r="F13" s="2">
        <v>20</v>
      </c>
      <c r="G13" s="2"/>
      <c r="H13" s="12"/>
      <c r="I13" s="1"/>
      <c r="J13" s="1" t="str">
        <f t="shared" si="0"/>
        <v>MIX_MATERIAL_CODE</v>
      </c>
      <c r="K13" s="1" t="str">
        <f t="shared" si="1"/>
        <v>NVARCHAR2</v>
      </c>
      <c r="L13" s="1" t="str">
        <f t="shared" si="2"/>
        <v>(</v>
      </c>
      <c r="M13" s="1">
        <f t="shared" si="3"/>
        <v>20</v>
      </c>
      <c r="N13" s="1" t="str">
        <f t="shared" si="4"/>
        <v>)</v>
      </c>
      <c r="O13" s="1" t="str">
        <f t="shared" si="5"/>
        <v/>
      </c>
      <c r="P13" s="1" t="str">
        <f t="shared" si="6"/>
        <v>NULL</v>
      </c>
      <c r="Q13" s="1" t="s">
        <v>113</v>
      </c>
      <c r="S13" s="1" t="str">
        <f>"COMMENT ON COLUMN " &amp; C9 &amp; "." &amp; C13 &amp; " IS '" &amp; B13 &amp; "'"</f>
        <v>COMMENT ON COLUMN WORK_DATE.MIX_MATERIAL_CODE IS '원료코드'</v>
      </c>
    </row>
    <row r="14" spans="1:19" x14ac:dyDescent="0.3">
      <c r="A14" s="2"/>
      <c r="B14" s="2" t="s">
        <v>331</v>
      </c>
      <c r="C14" s="12" t="s">
        <v>766</v>
      </c>
      <c r="D14" s="2"/>
      <c r="E14" s="2" t="s">
        <v>545</v>
      </c>
      <c r="F14" s="2" t="s">
        <v>353</v>
      </c>
      <c r="G14" s="2"/>
      <c r="H14" s="12"/>
      <c r="I14" s="1"/>
      <c r="J14" s="1" t="str">
        <f t="shared" si="0"/>
        <v>MIX_QTY</v>
      </c>
      <c r="K14" s="1" t="str">
        <f t="shared" si="1"/>
        <v>NUMBER</v>
      </c>
      <c r="L14" s="1" t="str">
        <f t="shared" si="2"/>
        <v>(</v>
      </c>
      <c r="M14" s="1" t="str">
        <f t="shared" si="3"/>
        <v>15, 3</v>
      </c>
      <c r="N14" s="1" t="str">
        <f t="shared" si="4"/>
        <v>)</v>
      </c>
      <c r="O14" s="1" t="str">
        <f t="shared" si="5"/>
        <v/>
      </c>
      <c r="P14" s="1" t="str">
        <f t="shared" si="6"/>
        <v>NULL</v>
      </c>
      <c r="Q14" s="1" t="s">
        <v>113</v>
      </c>
      <c r="S14" s="1" t="str">
        <f>"COMMENT ON COLUMN " &amp; C10 &amp; "." &amp; C14 &amp; " IS '" &amp; B14 &amp; "'"</f>
        <v>COMMENT ON COLUMN WORK_NUM.MIX_QTY IS '설정값'</v>
      </c>
    </row>
    <row r="15" spans="1:19" x14ac:dyDescent="0.3">
      <c r="A15" s="2"/>
      <c r="B15" s="12" t="s">
        <v>724</v>
      </c>
      <c r="C15" s="12" t="s">
        <v>725</v>
      </c>
      <c r="D15" s="2"/>
      <c r="E15" s="2" t="s">
        <v>545</v>
      </c>
      <c r="F15" s="2" t="s">
        <v>353</v>
      </c>
      <c r="G15" s="2"/>
      <c r="H15" s="12"/>
      <c r="I15" s="1"/>
      <c r="J15" s="1" t="str">
        <f t="shared" si="0"/>
        <v>MIX_RATIO</v>
      </c>
      <c r="K15" s="1" t="str">
        <f t="shared" si="1"/>
        <v>NUMBER</v>
      </c>
      <c r="L15" s="1" t="str">
        <f t="shared" si="2"/>
        <v>(</v>
      </c>
      <c r="M15" s="1" t="str">
        <f t="shared" si="3"/>
        <v>15, 3</v>
      </c>
      <c r="N15" s="1" t="str">
        <f t="shared" si="4"/>
        <v>)</v>
      </c>
      <c r="O15" s="1" t="str">
        <f t="shared" si="5"/>
        <v/>
      </c>
      <c r="P15" s="1" t="str">
        <f t="shared" si="6"/>
        <v>NULL</v>
      </c>
      <c r="Q15" s="1" t="s">
        <v>113</v>
      </c>
      <c r="S15" s="1" t="str">
        <f>"COMMENT ON COLUMN " &amp; C11 &amp; "." &amp; C15 &amp; " IS '" &amp; B15 &amp; "'"</f>
        <v>COMMENT ON COLUMN SCALE_CODE.MIX_RATIO IS '설정비율'</v>
      </c>
    </row>
    <row r="16" spans="1:19" x14ac:dyDescent="0.3">
      <c r="A16" s="2"/>
      <c r="B16" s="2" t="s">
        <v>111</v>
      </c>
      <c r="C16" s="2" t="s">
        <v>790</v>
      </c>
      <c r="D16" s="2" t="s">
        <v>188</v>
      </c>
      <c r="E16" s="2" t="s">
        <v>618</v>
      </c>
      <c r="F16" s="2">
        <v>20</v>
      </c>
      <c r="G16" s="2" t="s">
        <v>90</v>
      </c>
      <c r="H16" s="15"/>
      <c r="I16" s="1"/>
      <c r="J16" s="1" t="str">
        <f t="shared" si="0"/>
        <v>INITBY</v>
      </c>
      <c r="K16" s="1" t="str">
        <f t="shared" si="1"/>
        <v>NVARCHAR2</v>
      </c>
      <c r="L16" s="1" t="str">
        <f t="shared" si="2"/>
        <v>(</v>
      </c>
      <c r="M16" s="1">
        <f t="shared" si="3"/>
        <v>20</v>
      </c>
      <c r="N16" s="1" t="str">
        <f t="shared" si="4"/>
        <v>)</v>
      </c>
      <c r="O16" s="1" t="str">
        <f t="shared" si="5"/>
        <v/>
      </c>
      <c r="P16" s="1" t="str">
        <f t="shared" si="6"/>
        <v>NOT NULL</v>
      </c>
      <c r="Q16" s="1" t="s">
        <v>113</v>
      </c>
      <c r="S16" s="1" t="str">
        <f t="shared" si="7"/>
        <v>COMMENT ON COLUMN MIX_MATERIAL_CODE.INITBY IS '입력자'</v>
      </c>
    </row>
    <row r="17" spans="1:19" x14ac:dyDescent="0.3">
      <c r="A17" s="2"/>
      <c r="B17" s="2" t="s">
        <v>254</v>
      </c>
      <c r="C17" s="2" t="s">
        <v>791</v>
      </c>
      <c r="D17" s="2" t="s">
        <v>254</v>
      </c>
      <c r="E17" s="2" t="s">
        <v>228</v>
      </c>
      <c r="F17" s="2"/>
      <c r="G17" s="2" t="s">
        <v>90</v>
      </c>
      <c r="H17" s="12" t="s">
        <v>570</v>
      </c>
      <c r="I17" s="1"/>
      <c r="J17" s="1" t="str">
        <f t="shared" si="0"/>
        <v>INITDTTM</v>
      </c>
      <c r="K17" s="1" t="str">
        <f t="shared" si="1"/>
        <v>DATE</v>
      </c>
      <c r="L17" s="1" t="str">
        <f t="shared" si="2"/>
        <v/>
      </c>
      <c r="M17" s="1" t="str">
        <f t="shared" si="3"/>
        <v/>
      </c>
      <c r="N17" s="1" t="str">
        <f t="shared" si="4"/>
        <v/>
      </c>
      <c r="O17" s="1" t="str">
        <f t="shared" si="5"/>
        <v>DEFAULT SYSDATE</v>
      </c>
      <c r="P17" s="1" t="str">
        <f t="shared" si="6"/>
        <v>NOT NULL</v>
      </c>
      <c r="Q17" s="1" t="s">
        <v>113</v>
      </c>
      <c r="S17" s="1" t="str">
        <f t="shared" si="7"/>
        <v>COMMENT ON COLUMN MIX_QTY.INITDTTM IS '입력일시'</v>
      </c>
    </row>
    <row r="18" spans="1:19" x14ac:dyDescent="0.3">
      <c r="A18" s="2"/>
      <c r="B18" s="2" t="s">
        <v>99</v>
      </c>
      <c r="C18" s="2" t="s">
        <v>793</v>
      </c>
      <c r="D18" s="2" t="s">
        <v>197</v>
      </c>
      <c r="E18" s="2" t="s">
        <v>618</v>
      </c>
      <c r="F18" s="2">
        <v>20</v>
      </c>
      <c r="G18" s="2" t="s">
        <v>122</v>
      </c>
      <c r="H18" s="15"/>
      <c r="I18" s="1"/>
      <c r="J18" s="1" t="str">
        <f t="shared" si="0"/>
        <v>UPBY</v>
      </c>
      <c r="K18" s="1" t="str">
        <f t="shared" si="1"/>
        <v>NVARCHAR2</v>
      </c>
      <c r="L18" s="1" t="str">
        <f t="shared" si="2"/>
        <v>(</v>
      </c>
      <c r="M18" s="1">
        <f t="shared" si="3"/>
        <v>20</v>
      </c>
      <c r="N18" s="1" t="str">
        <f t="shared" si="4"/>
        <v>)</v>
      </c>
      <c r="O18" s="1" t="str">
        <f t="shared" si="5"/>
        <v/>
      </c>
      <c r="P18" s="1" t="str">
        <f t="shared" si="6"/>
        <v>NULL</v>
      </c>
      <c r="Q18" s="1" t="s">
        <v>113</v>
      </c>
      <c r="S18" s="1" t="str">
        <f t="shared" si="7"/>
        <v>COMMENT ON COLUMN MIX_RATIO.UPBY IS '수정자'</v>
      </c>
    </row>
    <row r="19" spans="1:19" x14ac:dyDescent="0.3">
      <c r="A19" s="2"/>
      <c r="B19" s="2" t="s">
        <v>259</v>
      </c>
      <c r="C19" s="2" t="s">
        <v>792</v>
      </c>
      <c r="D19" s="2" t="s">
        <v>259</v>
      </c>
      <c r="E19" s="2" t="s">
        <v>228</v>
      </c>
      <c r="F19" s="2"/>
      <c r="G19" s="2" t="s">
        <v>122</v>
      </c>
      <c r="H19" s="12"/>
      <c r="I19" s="1"/>
      <c r="J19" s="1" t="str">
        <f t="shared" si="0"/>
        <v>UPDTTM</v>
      </c>
      <c r="K19" s="1" t="str">
        <f t="shared" si="1"/>
        <v>DATE</v>
      </c>
      <c r="L19" s="1" t="str">
        <f t="shared" si="2"/>
        <v/>
      </c>
      <c r="M19" s="1" t="str">
        <f t="shared" si="3"/>
        <v/>
      </c>
      <c r="N19" s="1" t="str">
        <f t="shared" si="4"/>
        <v/>
      </c>
      <c r="O19" s="1" t="str">
        <f t="shared" si="5"/>
        <v/>
      </c>
      <c r="P19" s="1" t="str">
        <f t="shared" si="6"/>
        <v>NULL</v>
      </c>
      <c r="Q19" s="21" t="s">
        <v>723</v>
      </c>
      <c r="S19" s="1" t="str">
        <f t="shared" si="7"/>
        <v>COMMENT ON COLUMN INITBY.UPDTTM IS '수정일시'</v>
      </c>
    </row>
    <row r="20" spans="1:19" x14ac:dyDescent="0.3">
      <c r="J20" s="13" t="str">
        <f>"ALTER TABLE "&amp;C3&amp;""</f>
        <v>ALTER TABLE MIX_SETTING</v>
      </c>
    </row>
    <row r="21" spans="1:19" x14ac:dyDescent="0.3">
      <c r="J21" s="13" t="str" cm="1">
        <f t="array" ref="J21">"ADD CONSTRAINT PK_"&amp;C3&amp;" PRIMARY KEY (" &amp; _xlfn.TEXTJOIN(", ", TRUE, _xlfn._xlws.FILTER(C6:C64, A6:A64="Y")) &amp; ")"</f>
        <v>ADD CONSTRAINT PK_MIX_SETTING PRIMARY KEY (PLANT_CODE, PROCESS_CODE, LINE_CODE, WORK_DATE, WORK_NUM)</v>
      </c>
    </row>
  </sheetData>
  <phoneticPr fontId="7" type="noConversion"/>
  <hyperlinks>
    <hyperlink ref="A1" location="리스트!A1" display="리스트로 이동" xr:uid="{1397F276-83D0-48FF-83E8-4B40CF25B81E}"/>
  </hyperlinks>
  <pageMargins left="0.74805557727813721" right="0.74805557727813721" top="0.98430556058883667" bottom="0.98430556058883667" header="0.51166665554046631" footer="0.51166665554046631"/>
  <pageSetup paperSize="9" fitToWidth="0" fitToHeight="0" orientation="portrait" horizontalDpi="0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8741A-3B45-42C9-92C7-A504858ACB00}">
  <dimension ref="A1:S28"/>
  <sheetViews>
    <sheetView zoomScaleNormal="100" zoomScaleSheetLayoutView="100" workbookViewId="0">
      <selection activeCell="J3" sqref="J3:Q3"/>
    </sheetView>
  </sheetViews>
  <sheetFormatPr defaultColWidth="9" defaultRowHeight="16.5" x14ac:dyDescent="0.3"/>
  <cols>
    <col min="1" max="1" width="8.625" bestFit="1" customWidth="1"/>
    <col min="2" max="2" width="13.75" bestFit="1" customWidth="1"/>
    <col min="3" max="3" width="14.125" bestFit="1" customWidth="1"/>
    <col min="4" max="4" width="19.375" bestFit="1" customWidth="1"/>
    <col min="5" max="5" width="12.75" bestFit="1" customWidth="1"/>
    <col min="6" max="6" width="6.75" bestFit="1" customWidth="1"/>
    <col min="7" max="7" width="9" bestFit="1" customWidth="1"/>
    <col min="10" max="10" width="20.5" customWidth="1"/>
    <col min="11" max="11" width="16.875" customWidth="1"/>
    <col min="12" max="12" width="1.625" bestFit="1" customWidth="1"/>
    <col min="13" max="13" width="5.5" bestFit="1" customWidth="1"/>
    <col min="14" max="14" width="1.625" bestFit="1" customWidth="1"/>
    <col min="15" max="15" width="18.375" bestFit="1" customWidth="1"/>
    <col min="16" max="17" width="10.125" bestFit="1" customWidth="1"/>
    <col min="18" max="18" width="16.875" customWidth="1"/>
  </cols>
  <sheetData>
    <row r="1" spans="1:19" x14ac:dyDescent="0.3">
      <c r="A1" s="16" t="s">
        <v>615</v>
      </c>
    </row>
    <row r="2" spans="1:19" x14ac:dyDescent="0.3">
      <c r="A2" s="2"/>
      <c r="B2" s="2" t="s">
        <v>116</v>
      </c>
      <c r="C2" s="2" t="s">
        <v>119</v>
      </c>
      <c r="D2" s="2" t="s">
        <v>112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3">
      <c r="A3" s="2"/>
      <c r="B3" s="12" t="s">
        <v>735</v>
      </c>
      <c r="C3" s="12" t="s">
        <v>732</v>
      </c>
      <c r="D3" s="2"/>
      <c r="E3" s="1"/>
      <c r="F3" s="1"/>
      <c r="G3" s="1"/>
      <c r="H3" s="1"/>
      <c r="I3" s="1"/>
      <c r="J3" s="13" t="str">
        <f>"DROP TABLE "&amp;C3&amp;" CASCADE CONSTRAINTS PURGE"</f>
        <v>DROP TABLE MIX_SETTING CASCADE CONSTRAINTS PURGE</v>
      </c>
      <c r="K3" s="1"/>
      <c r="L3" s="1"/>
      <c r="M3" s="1"/>
      <c r="N3" s="1"/>
      <c r="O3" s="1"/>
      <c r="P3" s="21"/>
      <c r="Q3" s="21" t="s">
        <v>771</v>
      </c>
      <c r="R3" s="1"/>
      <c r="S3" s="1"/>
    </row>
    <row r="4" spans="1:19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3">
      <c r="A5" s="2" t="s">
        <v>88</v>
      </c>
      <c r="B5" s="2" t="s">
        <v>215</v>
      </c>
      <c r="C5" s="2" t="s">
        <v>252</v>
      </c>
      <c r="D5" s="2" t="s">
        <v>169</v>
      </c>
      <c r="E5" s="2" t="s">
        <v>265</v>
      </c>
      <c r="F5" s="2" t="s">
        <v>101</v>
      </c>
      <c r="G5" s="2" t="s">
        <v>205</v>
      </c>
      <c r="H5" s="12" t="s">
        <v>569</v>
      </c>
      <c r="I5" s="1"/>
      <c r="J5" s="1" t="str">
        <f>"CREATE TABLE "&amp;C3&amp;" ("</f>
        <v>CREATE TABLE MIX_SETTING (</v>
      </c>
      <c r="K5" s="1"/>
      <c r="L5" s="1"/>
      <c r="M5" s="1"/>
      <c r="N5" s="1"/>
      <c r="O5" s="1"/>
      <c r="P5" s="1"/>
      <c r="Q5" s="1"/>
      <c r="R5" s="1"/>
      <c r="S5" s="1" t="str">
        <f>"COMMENT ON TABLE " &amp; C3 &amp; " IS '" &amp; SUBSTITUTE(B3,"'","''") &amp; "'"</f>
        <v>COMMENT ON TABLE MIX_SETTING IS '배합 설정값'</v>
      </c>
    </row>
    <row r="6" spans="1:19" x14ac:dyDescent="0.3">
      <c r="A6" s="2" t="s">
        <v>122</v>
      </c>
      <c r="B6" s="2" t="s">
        <v>35</v>
      </c>
      <c r="C6" s="2" t="s">
        <v>528</v>
      </c>
      <c r="D6" s="2"/>
      <c r="E6" s="2" t="s">
        <v>618</v>
      </c>
      <c r="F6" s="2">
        <v>20</v>
      </c>
      <c r="G6" s="2" t="s">
        <v>90</v>
      </c>
      <c r="H6" s="12"/>
      <c r="I6" s="1"/>
      <c r="J6" s="1" t="str">
        <f>""&amp;C6&amp;""</f>
        <v>PLANT_CODE</v>
      </c>
      <c r="K6" s="1" t="str">
        <f>""&amp;E6&amp;""</f>
        <v>NVARCHAR2</v>
      </c>
      <c r="L6" s="1" t="str">
        <f>IF(F6="","","(")</f>
        <v>(</v>
      </c>
      <c r="M6" s="1">
        <f>IF(F6="","",F6)</f>
        <v>20</v>
      </c>
      <c r="N6" s="1" t="str">
        <f>IF(F6="","",")")</f>
        <v>)</v>
      </c>
      <c r="O6" s="1" t="str">
        <f>IF(H6&lt;&gt;"","DEFAULT "&amp;H6,"")</f>
        <v/>
      </c>
      <c r="P6" s="1" t="str">
        <f>IF(G6="N","NOT NULL","NULL")</f>
        <v>NOT NULL</v>
      </c>
      <c r="Q6" s="1" t="s">
        <v>113</v>
      </c>
      <c r="S6" s="1" t="str">
        <f>"COMMENT ON COLUMN " &amp; C3 &amp; "." &amp; C6 &amp; " IS '" &amp; B6 &amp; "'"</f>
        <v>COMMENT ON COLUMN MIX_SETTING.PLANT_CODE IS '고객사코드'</v>
      </c>
    </row>
    <row r="7" spans="1:19" x14ac:dyDescent="0.3">
      <c r="A7" s="2" t="s">
        <v>122</v>
      </c>
      <c r="B7" s="2" t="s">
        <v>245</v>
      </c>
      <c r="C7" s="2" t="s">
        <v>291</v>
      </c>
      <c r="D7" s="2"/>
      <c r="E7" s="2" t="s">
        <v>618</v>
      </c>
      <c r="F7" s="2">
        <v>20</v>
      </c>
      <c r="G7" s="2" t="s">
        <v>90</v>
      </c>
      <c r="H7" s="12"/>
      <c r="I7" s="1"/>
      <c r="J7" s="1" t="str">
        <f t="shared" ref="J7:J26" si="0">""&amp;C7&amp;""</f>
        <v>PROCESS_CODE</v>
      </c>
      <c r="K7" s="1" t="str">
        <f t="shared" ref="K7:K26" si="1">""&amp;E7&amp;""</f>
        <v>NVARCHAR2</v>
      </c>
      <c r="L7" s="1" t="str">
        <f t="shared" ref="L7:L26" si="2">IF(F7="","","(")</f>
        <v>(</v>
      </c>
      <c r="M7" s="1">
        <f t="shared" ref="M7:M26" si="3">IF(F7="","",F7)</f>
        <v>20</v>
      </c>
      <c r="N7" s="1" t="str">
        <f t="shared" ref="N7:N26" si="4">IF(F7="","",")")</f>
        <v>)</v>
      </c>
      <c r="O7" s="1" t="str">
        <f t="shared" ref="O7:O26" si="5">IF(H7&lt;&gt;"","DEFAULT "&amp;H7,"")</f>
        <v/>
      </c>
      <c r="P7" s="1" t="str">
        <f t="shared" ref="P7:P26" si="6">IF(G7="N","NOT NULL","NULL")</f>
        <v>NOT NULL</v>
      </c>
      <c r="Q7" s="1" t="s">
        <v>113</v>
      </c>
      <c r="S7" s="1" t="str">
        <f t="shared" ref="S7:S26" si="7">"COMMENT ON COLUMN " &amp; C4 &amp; "." &amp; C7 &amp; " IS '" &amp; B7 &amp; "'"</f>
        <v>COMMENT ON COLUMN .PROCESS_CODE IS '공정코드'</v>
      </c>
    </row>
    <row r="8" spans="1:19" x14ac:dyDescent="0.3">
      <c r="A8" s="12" t="s">
        <v>565</v>
      </c>
      <c r="B8" s="12" t="s">
        <v>684</v>
      </c>
      <c r="C8" s="12" t="s">
        <v>677</v>
      </c>
      <c r="D8" s="2"/>
      <c r="E8" s="2" t="s">
        <v>618</v>
      </c>
      <c r="F8" s="2">
        <v>10</v>
      </c>
      <c r="G8" s="12" t="s">
        <v>564</v>
      </c>
      <c r="H8" s="12"/>
      <c r="I8" s="1"/>
      <c r="J8" s="1" t="str">
        <f t="shared" si="0"/>
        <v>LINE_CODE</v>
      </c>
      <c r="K8" s="1" t="str">
        <f t="shared" si="1"/>
        <v>NVARCHAR2</v>
      </c>
      <c r="L8" s="1" t="str">
        <f t="shared" si="2"/>
        <v>(</v>
      </c>
      <c r="M8" s="1">
        <f t="shared" si="3"/>
        <v>10</v>
      </c>
      <c r="N8" s="1" t="str">
        <f t="shared" si="4"/>
        <v>)</v>
      </c>
      <c r="O8" s="1" t="str">
        <f t="shared" si="5"/>
        <v/>
      </c>
      <c r="P8" s="1" t="str">
        <f t="shared" si="6"/>
        <v>NOT NULL</v>
      </c>
      <c r="Q8" s="1" t="s">
        <v>113</v>
      </c>
      <c r="S8" s="1" t="str">
        <f t="shared" si="7"/>
        <v>COMMENT ON COLUMN 컬럼명영문.LINE_CODE IS '공정라인코드'</v>
      </c>
    </row>
    <row r="9" spans="1:19" x14ac:dyDescent="0.3">
      <c r="A9" s="2" t="s">
        <v>122</v>
      </c>
      <c r="B9" s="2" t="s">
        <v>317</v>
      </c>
      <c r="C9" s="2" t="s">
        <v>312</v>
      </c>
      <c r="D9" s="2"/>
      <c r="E9" s="2" t="s">
        <v>618</v>
      </c>
      <c r="F9" s="2">
        <v>10</v>
      </c>
      <c r="G9" s="2" t="s">
        <v>90</v>
      </c>
      <c r="H9" s="12"/>
      <c r="I9" s="1"/>
      <c r="J9" s="1" t="str">
        <f t="shared" si="0"/>
        <v>WORK_DATE</v>
      </c>
      <c r="K9" s="1" t="str">
        <f t="shared" si="1"/>
        <v>NVARCHAR2</v>
      </c>
      <c r="L9" s="1" t="str">
        <f t="shared" si="2"/>
        <v>(</v>
      </c>
      <c r="M9" s="1">
        <f t="shared" si="3"/>
        <v>10</v>
      </c>
      <c r="N9" s="1" t="str">
        <f t="shared" si="4"/>
        <v>)</v>
      </c>
      <c r="O9" s="1" t="str">
        <f t="shared" si="5"/>
        <v/>
      </c>
      <c r="P9" s="1" t="str">
        <f t="shared" si="6"/>
        <v>NOT NULL</v>
      </c>
      <c r="Q9" s="1" t="s">
        <v>113</v>
      </c>
      <c r="S9" s="1" t="str">
        <f t="shared" si="7"/>
        <v>COMMENT ON COLUMN PLANT_CODE.WORK_DATE IS '작업지시일'</v>
      </c>
    </row>
    <row r="10" spans="1:19" x14ac:dyDescent="0.3">
      <c r="A10" s="2" t="s">
        <v>122</v>
      </c>
      <c r="B10" s="2" t="s">
        <v>316</v>
      </c>
      <c r="C10" s="2" t="s">
        <v>313</v>
      </c>
      <c r="D10" s="2"/>
      <c r="E10" s="2" t="s">
        <v>545</v>
      </c>
      <c r="F10" s="2">
        <v>3</v>
      </c>
      <c r="G10" s="2" t="s">
        <v>90</v>
      </c>
      <c r="H10" s="12"/>
      <c r="I10" s="1"/>
      <c r="J10" s="1" t="str">
        <f t="shared" si="0"/>
        <v>WORK_NUM</v>
      </c>
      <c r="K10" s="1" t="str">
        <f t="shared" si="1"/>
        <v>NUMBER</v>
      </c>
      <c r="L10" s="1" t="str">
        <f t="shared" si="2"/>
        <v>(</v>
      </c>
      <c r="M10" s="1">
        <f t="shared" si="3"/>
        <v>3</v>
      </c>
      <c r="N10" s="1" t="str">
        <f t="shared" si="4"/>
        <v>)</v>
      </c>
      <c r="O10" s="1" t="str">
        <f t="shared" si="5"/>
        <v/>
      </c>
      <c r="P10" s="1" t="str">
        <f t="shared" si="6"/>
        <v>NOT NULL</v>
      </c>
      <c r="Q10" s="1" t="s">
        <v>113</v>
      </c>
      <c r="S10" s="1" t="str">
        <f t="shared" si="7"/>
        <v>COMMENT ON COLUMN PROCESS_CODE.WORK_NUM IS '작업지시순서'</v>
      </c>
    </row>
    <row r="11" spans="1:19" x14ac:dyDescent="0.3">
      <c r="A11" s="12" t="s">
        <v>565</v>
      </c>
      <c r="B11" s="12" t="s">
        <v>742</v>
      </c>
      <c r="C11" s="2" t="s">
        <v>278</v>
      </c>
      <c r="D11" s="2"/>
      <c r="E11" s="2" t="s">
        <v>545</v>
      </c>
      <c r="F11" s="2">
        <v>3</v>
      </c>
      <c r="G11" s="12" t="s">
        <v>565</v>
      </c>
      <c r="H11" s="12"/>
      <c r="I11" s="1"/>
      <c r="J11" s="1" t="str">
        <f t="shared" ref="J11:J13" si="8">""&amp;C11&amp;""</f>
        <v>BATCH_NUM</v>
      </c>
      <c r="K11" s="1" t="str">
        <f t="shared" ref="K11:K13" si="9">""&amp;E11&amp;""</f>
        <v>NUMBER</v>
      </c>
      <c r="L11" s="1" t="str">
        <f t="shared" ref="L11:L13" si="10">IF(F11="","","(")</f>
        <v>(</v>
      </c>
      <c r="M11" s="1">
        <f t="shared" ref="M11:M13" si="11">IF(F11="","",F11)</f>
        <v>3</v>
      </c>
      <c r="N11" s="1" t="str">
        <f t="shared" ref="N11:N13" si="12">IF(F11="","",")")</f>
        <v>)</v>
      </c>
      <c r="O11" s="1" t="str">
        <f t="shared" ref="O11:O13" si="13">IF(H11&lt;&gt;"","DEFAULT "&amp;H11,"")</f>
        <v/>
      </c>
      <c r="P11" s="1" t="str">
        <f t="shared" ref="P11:P13" si="14">IF(G11="N","NOT NULL","NULL")</f>
        <v>NULL</v>
      </c>
      <c r="Q11" s="1" t="s">
        <v>113</v>
      </c>
      <c r="S11" s="1" t="str">
        <f>"COMMENT ON COLUMN " &amp; C7 &amp; "." &amp; C11 &amp; " IS '" &amp; B11 &amp; "'"</f>
        <v>COMMENT ON COLUMN PROCESS_CODE.BATCH_NUM IS '변경배치'</v>
      </c>
    </row>
    <row r="12" spans="1:19" x14ac:dyDescent="0.3">
      <c r="A12" s="12" t="s">
        <v>565</v>
      </c>
      <c r="B12" s="12" t="s">
        <v>743</v>
      </c>
      <c r="C12" s="12" t="s">
        <v>744</v>
      </c>
      <c r="D12" s="2"/>
      <c r="E12" s="12" t="s">
        <v>546</v>
      </c>
      <c r="F12" s="2">
        <v>3</v>
      </c>
      <c r="G12" s="12" t="s">
        <v>564</v>
      </c>
      <c r="H12" s="12">
        <v>0</v>
      </c>
      <c r="I12" s="1"/>
      <c r="J12" s="1" t="str">
        <f t="shared" si="8"/>
        <v>CHANGE_ID</v>
      </c>
      <c r="K12" s="1" t="str">
        <f t="shared" si="9"/>
        <v>NUMBER</v>
      </c>
      <c r="L12" s="1" t="str">
        <f t="shared" si="10"/>
        <v>(</v>
      </c>
      <c r="M12" s="1">
        <f t="shared" si="11"/>
        <v>3</v>
      </c>
      <c r="N12" s="1" t="str">
        <f t="shared" si="12"/>
        <v>)</v>
      </c>
      <c r="O12" s="1" t="str">
        <f t="shared" si="13"/>
        <v>DEFAULT 0</v>
      </c>
      <c r="P12" s="1" t="str">
        <f t="shared" si="14"/>
        <v>NOT NULL</v>
      </c>
      <c r="Q12" s="1" t="s">
        <v>113</v>
      </c>
      <c r="S12" s="1" t="str">
        <f>"COMMENT ON COLUMN " &amp; C7 &amp; "." &amp; C12 &amp; " IS '" &amp; B12 &amp; "'"</f>
        <v>COMMENT ON COLUMN PROCESS_CODE.CHANGE_ID IS '변경ID'</v>
      </c>
    </row>
    <row r="13" spans="1:19" x14ac:dyDescent="0.3">
      <c r="A13" s="2"/>
      <c r="B13" s="12" t="s">
        <v>745</v>
      </c>
      <c r="C13" s="12" t="s">
        <v>755</v>
      </c>
      <c r="D13" s="2"/>
      <c r="E13" s="2" t="s">
        <v>618</v>
      </c>
      <c r="F13" s="2">
        <v>20</v>
      </c>
      <c r="G13" s="2"/>
      <c r="H13" s="12"/>
      <c r="I13" s="1"/>
      <c r="J13" s="1" t="str">
        <f t="shared" si="8"/>
        <v>OLD_SCALE_CODE</v>
      </c>
      <c r="K13" s="1" t="str">
        <f t="shared" si="9"/>
        <v>NVARCHAR2</v>
      </c>
      <c r="L13" s="1" t="str">
        <f t="shared" si="10"/>
        <v>(</v>
      </c>
      <c r="M13" s="1">
        <f t="shared" si="11"/>
        <v>20</v>
      </c>
      <c r="N13" s="1" t="str">
        <f t="shared" si="12"/>
        <v>)</v>
      </c>
      <c r="O13" s="1" t="str">
        <f t="shared" si="13"/>
        <v/>
      </c>
      <c r="P13" s="1" t="str">
        <f t="shared" si="14"/>
        <v>NULL</v>
      </c>
      <c r="Q13" s="1" t="s">
        <v>113</v>
      </c>
      <c r="S13" s="1" t="str">
        <f>"COMMENT ON COLUMN " &amp; C7 &amp; "." &amp; C13 &amp; " IS '" &amp; B13 &amp; "'"</f>
        <v>COMMENT ON COLUMN PROCESS_CODE.OLD_SCALE_CODE IS '변경전스케일'</v>
      </c>
    </row>
    <row r="14" spans="1:19" x14ac:dyDescent="0.3">
      <c r="A14" s="2"/>
      <c r="B14" s="12" t="s">
        <v>746</v>
      </c>
      <c r="C14" s="12" t="s">
        <v>756</v>
      </c>
      <c r="D14" s="2"/>
      <c r="E14" s="2" t="s">
        <v>618</v>
      </c>
      <c r="F14" s="2">
        <v>20</v>
      </c>
      <c r="G14" s="2"/>
      <c r="H14" s="12"/>
      <c r="I14" s="1"/>
      <c r="J14" s="1" t="str">
        <f t="shared" si="0"/>
        <v>NEW_SCALE_CODE</v>
      </c>
      <c r="K14" s="1" t="str">
        <f t="shared" si="1"/>
        <v>NVARCHAR2</v>
      </c>
      <c r="L14" s="1" t="str">
        <f t="shared" si="2"/>
        <v>(</v>
      </c>
      <c r="M14" s="1">
        <f t="shared" si="3"/>
        <v>20</v>
      </c>
      <c r="N14" s="1" t="str">
        <f t="shared" si="4"/>
        <v>)</v>
      </c>
      <c r="O14" s="1" t="str">
        <f t="shared" si="5"/>
        <v/>
      </c>
      <c r="P14" s="1" t="str">
        <f t="shared" si="6"/>
        <v>NULL</v>
      </c>
      <c r="Q14" s="1" t="s">
        <v>113</v>
      </c>
      <c r="S14" s="1" t="str">
        <f>"COMMENT ON COLUMN " &amp; C8 &amp; "." &amp; C14 &amp; " IS '" &amp; B14 &amp; "'"</f>
        <v>COMMENT ON COLUMN LINE_CODE.NEW_SCALE_CODE IS '변경후스케일'</v>
      </c>
    </row>
    <row r="15" spans="1:19" x14ac:dyDescent="0.3">
      <c r="A15" s="2"/>
      <c r="B15" s="12" t="s">
        <v>747</v>
      </c>
      <c r="C15" s="12" t="s">
        <v>757</v>
      </c>
      <c r="D15" s="2"/>
      <c r="E15" s="2" t="s">
        <v>618</v>
      </c>
      <c r="F15" s="2">
        <v>20</v>
      </c>
      <c r="G15" s="2"/>
      <c r="H15" s="12"/>
      <c r="I15" s="1"/>
      <c r="J15" s="1" t="str">
        <f>""&amp;C15&amp;""</f>
        <v>OLD_BIN_CODE</v>
      </c>
      <c r="K15" s="1" t="str">
        <f>""&amp;E15&amp;""</f>
        <v>NVARCHAR2</v>
      </c>
      <c r="L15" s="1" t="str">
        <f>IF(F15="","","(")</f>
        <v>(</v>
      </c>
      <c r="M15" s="1">
        <f>IF(F15="","",F15)</f>
        <v>20</v>
      </c>
      <c r="N15" s="1" t="str">
        <f>IF(F15="","",")")</f>
        <v>)</v>
      </c>
      <c r="O15" s="1" t="str">
        <f>IF(H15&lt;&gt;"","DEFAULT "&amp;H15,"")</f>
        <v/>
      </c>
      <c r="P15" s="1" t="str">
        <f>IF(G15="N","NOT NULL","NULL")</f>
        <v>NULL</v>
      </c>
      <c r="Q15" s="1" t="s">
        <v>113</v>
      </c>
      <c r="S15" s="1" t="str">
        <f>"COMMENT ON COLUMN " &amp; C6 &amp; "." &amp; C15 &amp; " IS '" &amp; B15 &amp; "'"</f>
        <v>COMMENT ON COLUMN PLANT_CODE.OLD_BIN_CODE IS '변경전빈'</v>
      </c>
    </row>
    <row r="16" spans="1:19" x14ac:dyDescent="0.3">
      <c r="A16" s="2"/>
      <c r="B16" s="12" t="s">
        <v>748</v>
      </c>
      <c r="C16" s="12" t="s">
        <v>758</v>
      </c>
      <c r="D16" s="2"/>
      <c r="E16" s="2" t="s">
        <v>618</v>
      </c>
      <c r="F16" s="2">
        <v>20</v>
      </c>
      <c r="G16" s="2"/>
      <c r="H16" s="12"/>
      <c r="I16" s="1"/>
      <c r="J16" s="1" t="str">
        <f>""&amp;C16&amp;""</f>
        <v>NEW_BIN_CODE</v>
      </c>
      <c r="K16" s="1" t="str">
        <f>""&amp;E16&amp;""</f>
        <v>NVARCHAR2</v>
      </c>
      <c r="L16" s="1" t="str">
        <f>IF(F16="","","(")</f>
        <v>(</v>
      </c>
      <c r="M16" s="1">
        <f>IF(F16="","",F16)</f>
        <v>20</v>
      </c>
      <c r="N16" s="1" t="str">
        <f>IF(F16="","",")")</f>
        <v>)</v>
      </c>
      <c r="O16" s="1" t="str">
        <f>IF(H16&lt;&gt;"","DEFAULT "&amp;H16,"")</f>
        <v/>
      </c>
      <c r="P16" s="1" t="str">
        <f>IF(G16="N","NOT NULL","NULL")</f>
        <v>NULL</v>
      </c>
      <c r="Q16" s="1" t="s">
        <v>113</v>
      </c>
      <c r="S16" s="1" t="str">
        <f>"COMMENT ON COLUMN " &amp; C7 &amp; "." &amp; C16 &amp; " IS '" &amp; B16 &amp; "'"</f>
        <v>COMMENT ON COLUMN PROCESS_CODE.NEW_BIN_CODE IS '변경후빈'</v>
      </c>
    </row>
    <row r="17" spans="1:19" x14ac:dyDescent="0.3">
      <c r="A17" s="2"/>
      <c r="B17" s="12" t="s">
        <v>749</v>
      </c>
      <c r="C17" s="12" t="s">
        <v>759</v>
      </c>
      <c r="D17" s="2"/>
      <c r="E17" s="2" t="s">
        <v>618</v>
      </c>
      <c r="F17" s="2">
        <v>20</v>
      </c>
      <c r="G17" s="2"/>
      <c r="H17" s="12"/>
      <c r="I17" s="1"/>
      <c r="J17" s="1" t="str">
        <f t="shared" ref="J17" si="15">""&amp;C17&amp;""</f>
        <v>OLD_MIX_MATERIAL_CODE</v>
      </c>
      <c r="K17" s="1" t="str">
        <f t="shared" ref="K17" si="16">""&amp;E17&amp;""</f>
        <v>NVARCHAR2</v>
      </c>
      <c r="L17" s="1" t="str">
        <f t="shared" ref="L17" si="17">IF(F17="","","(")</f>
        <v>(</v>
      </c>
      <c r="M17" s="1">
        <f t="shared" ref="M17" si="18">IF(F17="","",F17)</f>
        <v>20</v>
      </c>
      <c r="N17" s="1" t="str">
        <f t="shared" ref="N17" si="19">IF(F17="","",")")</f>
        <v>)</v>
      </c>
      <c r="O17" s="1" t="str">
        <f t="shared" ref="O17" si="20">IF(H17&lt;&gt;"","DEFAULT "&amp;H17,"")</f>
        <v/>
      </c>
      <c r="P17" s="1" t="str">
        <f t="shared" ref="P17" si="21">IF(G17="N","NOT NULL","NULL")</f>
        <v>NULL</v>
      </c>
      <c r="Q17" s="1" t="s">
        <v>113</v>
      </c>
      <c r="S17" s="1" t="str">
        <f>"COMMENT ON COLUMN " &amp; C7 &amp; "." &amp; C17 &amp; " IS '" &amp; B17 &amp; "'"</f>
        <v>COMMENT ON COLUMN PROCESS_CODE.OLD_MIX_MATERIAL_CODE IS '변경전원료코드'</v>
      </c>
    </row>
    <row r="18" spans="1:19" x14ac:dyDescent="0.3">
      <c r="A18" s="2"/>
      <c r="B18" s="12" t="s">
        <v>750</v>
      </c>
      <c r="C18" s="12" t="s">
        <v>760</v>
      </c>
      <c r="D18" s="2"/>
      <c r="E18" s="2" t="s">
        <v>618</v>
      </c>
      <c r="F18" s="2">
        <v>20</v>
      </c>
      <c r="G18" s="2"/>
      <c r="H18" s="12"/>
      <c r="I18" s="1"/>
      <c r="J18" s="1" t="str">
        <f t="shared" si="0"/>
        <v>NEW_MIX_MATERIAL_CODE</v>
      </c>
      <c r="K18" s="1" t="str">
        <f t="shared" si="1"/>
        <v>NVARCHAR2</v>
      </c>
      <c r="L18" s="1" t="str">
        <f t="shared" si="2"/>
        <v>(</v>
      </c>
      <c r="M18" s="1">
        <f t="shared" si="3"/>
        <v>20</v>
      </c>
      <c r="N18" s="1" t="str">
        <f t="shared" si="4"/>
        <v>)</v>
      </c>
      <c r="O18" s="1" t="str">
        <f t="shared" si="5"/>
        <v/>
      </c>
      <c r="P18" s="1" t="str">
        <f t="shared" si="6"/>
        <v>NULL</v>
      </c>
      <c r="Q18" s="1" t="s">
        <v>113</v>
      </c>
      <c r="S18" s="1" t="str">
        <f>"COMMENT ON COLUMN " &amp; C8 &amp; "." &amp; C18 &amp; " IS '" &amp; B18 &amp; "'"</f>
        <v>COMMENT ON COLUMN LINE_CODE.NEW_MIX_MATERIAL_CODE IS '변경후원료코드'</v>
      </c>
    </row>
    <row r="19" spans="1:19" x14ac:dyDescent="0.3">
      <c r="A19" s="2"/>
      <c r="B19" s="12" t="s">
        <v>751</v>
      </c>
      <c r="C19" s="12" t="s">
        <v>767</v>
      </c>
      <c r="D19" s="2"/>
      <c r="E19" s="2" t="s">
        <v>545</v>
      </c>
      <c r="F19" s="2" t="s">
        <v>353</v>
      </c>
      <c r="G19" s="2"/>
      <c r="H19" s="12"/>
      <c r="I19" s="1"/>
      <c r="J19" s="1" t="str">
        <f t="shared" ref="J19" si="22">""&amp;C19&amp;""</f>
        <v>OLD_SET_QTY</v>
      </c>
      <c r="K19" s="1" t="str">
        <f t="shared" ref="K19" si="23">""&amp;E19&amp;""</f>
        <v>NUMBER</v>
      </c>
      <c r="L19" s="1" t="str">
        <f t="shared" ref="L19" si="24">IF(F19="","","(")</f>
        <v>(</v>
      </c>
      <c r="M19" s="1" t="str">
        <f t="shared" ref="M19" si="25">IF(F19="","",F19)</f>
        <v>15, 3</v>
      </c>
      <c r="N19" s="1" t="str">
        <f t="shared" ref="N19" si="26">IF(F19="","",")")</f>
        <v>)</v>
      </c>
      <c r="O19" s="1" t="str">
        <f t="shared" ref="O19" si="27">IF(H19&lt;&gt;"","DEFAULT "&amp;H19,"")</f>
        <v/>
      </c>
      <c r="P19" s="1" t="str">
        <f t="shared" ref="P19" si="28">IF(G19="N","NOT NULL","NULL")</f>
        <v>NULL</v>
      </c>
      <c r="Q19" s="1" t="s">
        <v>113</v>
      </c>
      <c r="S19" s="1" t="str">
        <f>"COMMENT ON COLUMN " &amp; C9 &amp; "." &amp; C19 &amp; " IS '" &amp; B19 &amp; "'"</f>
        <v>COMMENT ON COLUMN WORK_DATE.OLD_SET_QTY IS '변경전설정값'</v>
      </c>
    </row>
    <row r="20" spans="1:19" x14ac:dyDescent="0.3">
      <c r="A20" s="2"/>
      <c r="B20" s="12" t="s">
        <v>752</v>
      </c>
      <c r="C20" s="12" t="s">
        <v>768</v>
      </c>
      <c r="D20" s="2"/>
      <c r="E20" s="2" t="s">
        <v>545</v>
      </c>
      <c r="F20" s="2" t="s">
        <v>353</v>
      </c>
      <c r="G20" s="2"/>
      <c r="H20" s="12"/>
      <c r="I20" s="1"/>
      <c r="J20" s="1" t="str">
        <f t="shared" si="0"/>
        <v>NEW_SET_QTY</v>
      </c>
      <c r="K20" s="1" t="str">
        <f t="shared" si="1"/>
        <v>NUMBER</v>
      </c>
      <c r="L20" s="1" t="str">
        <f t="shared" si="2"/>
        <v>(</v>
      </c>
      <c r="M20" s="1" t="str">
        <f t="shared" si="3"/>
        <v>15, 3</v>
      </c>
      <c r="N20" s="1" t="str">
        <f t="shared" si="4"/>
        <v>)</v>
      </c>
      <c r="O20" s="1" t="str">
        <f t="shared" si="5"/>
        <v/>
      </c>
      <c r="P20" s="1" t="str">
        <f t="shared" si="6"/>
        <v>NULL</v>
      </c>
      <c r="Q20" s="1" t="s">
        <v>113</v>
      </c>
      <c r="S20" s="1" t="str">
        <f>"COMMENT ON COLUMN " &amp; C10 &amp; "." &amp; C20 &amp; " IS '" &amp; B20 &amp; "'"</f>
        <v>COMMENT ON COLUMN WORK_NUM.NEW_SET_QTY IS '변경후설정값'</v>
      </c>
    </row>
    <row r="21" spans="1:19" x14ac:dyDescent="0.3">
      <c r="A21" s="2"/>
      <c r="B21" s="12" t="s">
        <v>753</v>
      </c>
      <c r="C21" s="12" t="s">
        <v>761</v>
      </c>
      <c r="D21" s="2"/>
      <c r="E21" s="2" t="s">
        <v>545</v>
      </c>
      <c r="F21" s="2" t="s">
        <v>353</v>
      </c>
      <c r="G21" s="2"/>
      <c r="H21" s="12"/>
      <c r="I21" s="1"/>
      <c r="J21" s="1" t="str">
        <f t="shared" ref="J21" si="29">""&amp;C21&amp;""</f>
        <v>OLD_MIX_RATIO</v>
      </c>
      <c r="K21" s="1" t="str">
        <f t="shared" ref="K21" si="30">""&amp;E21&amp;""</f>
        <v>NUMBER</v>
      </c>
      <c r="L21" s="1" t="str">
        <f t="shared" ref="L21" si="31">IF(F21="","","(")</f>
        <v>(</v>
      </c>
      <c r="M21" s="1" t="str">
        <f t="shared" ref="M21" si="32">IF(F21="","",F21)</f>
        <v>15, 3</v>
      </c>
      <c r="N21" s="1" t="str">
        <f t="shared" ref="N21" si="33">IF(F21="","",")")</f>
        <v>)</v>
      </c>
      <c r="O21" s="1" t="str">
        <f t="shared" ref="O21" si="34">IF(H21&lt;&gt;"","DEFAULT "&amp;H21,"")</f>
        <v/>
      </c>
      <c r="P21" s="1" t="str">
        <f t="shared" ref="P21" si="35">IF(G21="N","NOT NULL","NULL")</f>
        <v>NULL</v>
      </c>
      <c r="Q21" s="1" t="s">
        <v>113</v>
      </c>
      <c r="S21" s="1" t="str">
        <f>"COMMENT ON COLUMN " &amp; C13 &amp; "." &amp; C21 &amp; " IS '" &amp; B21 &amp; "'"</f>
        <v>COMMENT ON COLUMN OLD_SCALE_CODE.OLD_MIX_RATIO IS '변경전설정비율'</v>
      </c>
    </row>
    <row r="22" spans="1:19" x14ac:dyDescent="0.3">
      <c r="A22" s="2"/>
      <c r="B22" s="12" t="s">
        <v>754</v>
      </c>
      <c r="C22" s="12" t="s">
        <v>762</v>
      </c>
      <c r="D22" s="2"/>
      <c r="E22" s="2" t="s">
        <v>545</v>
      </c>
      <c r="F22" s="2" t="s">
        <v>353</v>
      </c>
      <c r="G22" s="2"/>
      <c r="H22" s="12"/>
      <c r="I22" s="1"/>
      <c r="J22" s="1" t="str">
        <f t="shared" si="0"/>
        <v>NEW_MIX_RATIO</v>
      </c>
      <c r="K22" s="1" t="str">
        <f t="shared" si="1"/>
        <v>NUMBER</v>
      </c>
      <c r="L22" s="1" t="str">
        <f t="shared" si="2"/>
        <v>(</v>
      </c>
      <c r="M22" s="1" t="str">
        <f t="shared" si="3"/>
        <v>15, 3</v>
      </c>
      <c r="N22" s="1" t="str">
        <f t="shared" si="4"/>
        <v>)</v>
      </c>
      <c r="O22" s="1" t="str">
        <f t="shared" si="5"/>
        <v/>
      </c>
      <c r="P22" s="1" t="str">
        <f t="shared" si="6"/>
        <v>NULL</v>
      </c>
      <c r="Q22" s="1" t="s">
        <v>113</v>
      </c>
      <c r="S22" s="1" t="str">
        <f>"COMMENT ON COLUMN " &amp; C14 &amp; "." &amp; C22 &amp; " IS '" &amp; B22 &amp; "'"</f>
        <v>COMMENT ON COLUMN NEW_SCALE_CODE.NEW_MIX_RATIO IS '변경후설정비율'</v>
      </c>
    </row>
    <row r="23" spans="1:19" x14ac:dyDescent="0.3">
      <c r="A23" s="2"/>
      <c r="B23" s="2" t="s">
        <v>111</v>
      </c>
      <c r="C23" s="2" t="s">
        <v>790</v>
      </c>
      <c r="D23" s="2" t="s">
        <v>188</v>
      </c>
      <c r="E23" s="2" t="s">
        <v>618</v>
      </c>
      <c r="F23" s="2">
        <v>20</v>
      </c>
      <c r="G23" s="2" t="s">
        <v>90</v>
      </c>
      <c r="H23" s="15"/>
      <c r="I23" s="1"/>
      <c r="J23" s="1" t="str">
        <f t="shared" si="0"/>
        <v>INITBY</v>
      </c>
      <c r="K23" s="1" t="str">
        <f t="shared" si="1"/>
        <v>NVARCHAR2</v>
      </c>
      <c r="L23" s="1" t="str">
        <f t="shared" si="2"/>
        <v>(</v>
      </c>
      <c r="M23" s="1">
        <f t="shared" si="3"/>
        <v>20</v>
      </c>
      <c r="N23" s="1" t="str">
        <f t="shared" si="4"/>
        <v>)</v>
      </c>
      <c r="O23" s="1" t="str">
        <f t="shared" si="5"/>
        <v/>
      </c>
      <c r="P23" s="1" t="str">
        <f t="shared" si="6"/>
        <v>NOT NULL</v>
      </c>
      <c r="Q23" s="1" t="s">
        <v>113</v>
      </c>
      <c r="S23" s="1" t="str">
        <f>"COMMENT ON COLUMN " &amp; C15 &amp; "." &amp; C23 &amp; " IS '" &amp; B23 &amp; "'"</f>
        <v>COMMENT ON COLUMN OLD_BIN_CODE.INITBY IS '입력자'</v>
      </c>
    </row>
    <row r="24" spans="1:19" x14ac:dyDescent="0.3">
      <c r="A24" s="2"/>
      <c r="B24" s="2" t="s">
        <v>254</v>
      </c>
      <c r="C24" s="2" t="s">
        <v>791</v>
      </c>
      <c r="D24" s="2" t="s">
        <v>254</v>
      </c>
      <c r="E24" s="2" t="s">
        <v>228</v>
      </c>
      <c r="F24" s="2"/>
      <c r="G24" s="2" t="s">
        <v>90</v>
      </c>
      <c r="H24" s="12" t="s">
        <v>570</v>
      </c>
      <c r="I24" s="1"/>
      <c r="J24" s="1" t="str">
        <f t="shared" si="0"/>
        <v>INITDTTM</v>
      </c>
      <c r="K24" s="1" t="str">
        <f t="shared" si="1"/>
        <v>DATE</v>
      </c>
      <c r="L24" s="1" t="str">
        <f t="shared" si="2"/>
        <v/>
      </c>
      <c r="M24" s="1" t="str">
        <f t="shared" si="3"/>
        <v/>
      </c>
      <c r="N24" s="1" t="str">
        <f t="shared" si="4"/>
        <v/>
      </c>
      <c r="O24" s="1" t="str">
        <f t="shared" si="5"/>
        <v>DEFAULT SYSDATE</v>
      </c>
      <c r="P24" s="1" t="str">
        <f t="shared" si="6"/>
        <v>NOT NULL</v>
      </c>
      <c r="Q24" s="1" t="s">
        <v>113</v>
      </c>
      <c r="S24" s="1" t="str">
        <f>"COMMENT ON COLUMN " &amp; C20 &amp; "." &amp; C24 &amp; " IS '" &amp; B24 &amp; "'"</f>
        <v>COMMENT ON COLUMN NEW_SET_QTY.INITDTTM IS '입력일시'</v>
      </c>
    </row>
    <row r="25" spans="1:19" x14ac:dyDescent="0.3">
      <c r="A25" s="2"/>
      <c r="B25" s="2" t="s">
        <v>99</v>
      </c>
      <c r="C25" s="2" t="s">
        <v>793</v>
      </c>
      <c r="D25" s="2" t="s">
        <v>197</v>
      </c>
      <c r="E25" s="2" t="s">
        <v>618</v>
      </c>
      <c r="F25" s="2">
        <v>20</v>
      </c>
      <c r="G25" s="2" t="s">
        <v>122</v>
      </c>
      <c r="H25" s="15"/>
      <c r="I25" s="1"/>
      <c r="J25" s="1" t="str">
        <f t="shared" si="0"/>
        <v>UPBY</v>
      </c>
      <c r="K25" s="1" t="str">
        <f t="shared" si="1"/>
        <v>NVARCHAR2</v>
      </c>
      <c r="L25" s="1" t="str">
        <f t="shared" si="2"/>
        <v>(</v>
      </c>
      <c r="M25" s="1">
        <f t="shared" si="3"/>
        <v>20</v>
      </c>
      <c r="N25" s="1" t="str">
        <f t="shared" si="4"/>
        <v>)</v>
      </c>
      <c r="O25" s="1" t="str">
        <f t="shared" si="5"/>
        <v/>
      </c>
      <c r="P25" s="1" t="str">
        <f t="shared" si="6"/>
        <v>NULL</v>
      </c>
      <c r="Q25" s="1" t="s">
        <v>113</v>
      </c>
      <c r="S25" s="1" t="str">
        <f>"COMMENT ON COLUMN " &amp; C22 &amp; "." &amp; C25 &amp; " IS '" &amp; B25 &amp; "'"</f>
        <v>COMMENT ON COLUMN NEW_MIX_RATIO.UPBY IS '수정자'</v>
      </c>
    </row>
    <row r="26" spans="1:19" x14ac:dyDescent="0.3">
      <c r="A26" s="2"/>
      <c r="B26" s="2" t="s">
        <v>259</v>
      </c>
      <c r="C26" s="2" t="s">
        <v>792</v>
      </c>
      <c r="D26" s="2" t="s">
        <v>259</v>
      </c>
      <c r="E26" s="2" t="s">
        <v>228</v>
      </c>
      <c r="F26" s="2"/>
      <c r="G26" s="2" t="s">
        <v>122</v>
      </c>
      <c r="H26" s="12"/>
      <c r="I26" s="1"/>
      <c r="J26" s="1" t="str">
        <f t="shared" si="0"/>
        <v>UPDTTM</v>
      </c>
      <c r="K26" s="1" t="str">
        <f t="shared" si="1"/>
        <v>DATE</v>
      </c>
      <c r="L26" s="1" t="str">
        <f t="shared" si="2"/>
        <v/>
      </c>
      <c r="M26" s="1" t="str">
        <f t="shared" si="3"/>
        <v/>
      </c>
      <c r="N26" s="1" t="str">
        <f t="shared" si="4"/>
        <v/>
      </c>
      <c r="O26" s="1" t="str">
        <f t="shared" si="5"/>
        <v/>
      </c>
      <c r="P26" s="1" t="str">
        <f t="shared" si="6"/>
        <v>NULL</v>
      </c>
      <c r="Q26" s="21" t="s">
        <v>723</v>
      </c>
      <c r="S26" s="1" t="str">
        <f t="shared" si="7"/>
        <v>COMMENT ON COLUMN INITBY.UPDTTM IS '수정일시'</v>
      </c>
    </row>
    <row r="27" spans="1:19" x14ac:dyDescent="0.3">
      <c r="J27" s="13" t="str">
        <f>"ALTER TABLE "&amp;C3&amp;""</f>
        <v>ALTER TABLE MIX_SETTING</v>
      </c>
    </row>
    <row r="28" spans="1:19" x14ac:dyDescent="0.3">
      <c r="J28" s="13" t="str" cm="1">
        <f t="array" ref="J28">"ADD CONSTRAINT PK_"&amp;C3&amp;" PRIMARY KEY (" &amp; _xlfn.TEXTJOIN(", ", TRUE, _xlfn._xlws.FILTER(C6:C71, A6:A71="Y")) &amp; ")"</f>
        <v>ADD CONSTRAINT PK_MIX_SETTING PRIMARY KEY (PLANT_CODE, PROCESS_CODE, LINE_CODE, WORK_DATE, WORK_NUM, BATCH_NUM, CHANGE_ID)</v>
      </c>
    </row>
  </sheetData>
  <phoneticPr fontId="7" type="noConversion"/>
  <hyperlinks>
    <hyperlink ref="A1" location="리스트!A1" display="리스트로 이동" xr:uid="{2650038B-3FEB-42AD-948E-9882B4C26F35}"/>
  </hyperlinks>
  <pageMargins left="0.74805557727813721" right="0.74805557727813721" top="0.98430556058883667" bottom="0.98430556058883667" header="0.51166665554046631" footer="0.51166665554046631"/>
  <pageSetup paperSize="9" fitToWidth="0" fitToHeight="0" orientation="portrait" horizontalDpi="0" verticalDpi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2B97D3-5A97-4175-9DAF-194311266872}">
  <dimension ref="A1:S20"/>
  <sheetViews>
    <sheetView zoomScaleNormal="100" zoomScaleSheetLayoutView="100" workbookViewId="0">
      <selection activeCell="J3" sqref="J3:Q3"/>
    </sheetView>
  </sheetViews>
  <sheetFormatPr defaultColWidth="9" defaultRowHeight="16.5" x14ac:dyDescent="0.3"/>
  <cols>
    <col min="1" max="1" width="8.625" bestFit="1" customWidth="1"/>
    <col min="2" max="2" width="13.75" bestFit="1" customWidth="1"/>
    <col min="3" max="3" width="14.125" bestFit="1" customWidth="1"/>
    <col min="4" max="4" width="19.375" bestFit="1" customWidth="1"/>
    <col min="5" max="5" width="12.75" bestFit="1" customWidth="1"/>
    <col min="6" max="6" width="6.75" bestFit="1" customWidth="1"/>
    <col min="7" max="7" width="9" bestFit="1" customWidth="1"/>
    <col min="8" max="8" width="9" customWidth="1"/>
    <col min="10" max="11" width="16.875" customWidth="1"/>
    <col min="12" max="12" width="1.625" bestFit="1" customWidth="1"/>
    <col min="13" max="13" width="5.5" bestFit="1" customWidth="1"/>
    <col min="14" max="14" width="1.625" bestFit="1" customWidth="1"/>
    <col min="15" max="15" width="18.375" bestFit="1" customWidth="1"/>
    <col min="16" max="17" width="10.125" bestFit="1" customWidth="1"/>
    <col min="18" max="18" width="16.875" customWidth="1"/>
  </cols>
  <sheetData>
    <row r="1" spans="1:19" x14ac:dyDescent="0.3">
      <c r="A1" s="16" t="s">
        <v>615</v>
      </c>
    </row>
    <row r="2" spans="1:19" x14ac:dyDescent="0.3">
      <c r="A2" s="2"/>
      <c r="B2" s="2" t="s">
        <v>116</v>
      </c>
      <c r="C2" s="2" t="s">
        <v>119</v>
      </c>
      <c r="D2" s="2" t="s">
        <v>112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3">
      <c r="A3" s="2"/>
      <c r="B3" s="12" t="s">
        <v>734</v>
      </c>
      <c r="C3" s="12" t="s">
        <v>733</v>
      </c>
      <c r="D3" s="2"/>
      <c r="E3" s="1"/>
      <c r="F3" s="1"/>
      <c r="G3" s="1"/>
      <c r="H3" s="1"/>
      <c r="I3" s="1"/>
      <c r="J3" s="13" t="str">
        <f>"DROP TABLE "&amp;C3&amp;" CASCADE CONSTRAINTS PURGE"</f>
        <v>DROP TABLE MIX_RESULT CASCADE CONSTRAINTS PURGE</v>
      </c>
      <c r="K3" s="1"/>
      <c r="L3" s="1"/>
      <c r="M3" s="1"/>
      <c r="N3" s="1"/>
      <c r="O3" s="1"/>
      <c r="P3" s="21"/>
      <c r="Q3" s="21" t="s">
        <v>771</v>
      </c>
      <c r="R3" s="1"/>
      <c r="S3" s="1"/>
    </row>
    <row r="4" spans="1:19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</row>
    <row r="5" spans="1:19" x14ac:dyDescent="0.3">
      <c r="A5" s="2" t="s">
        <v>88</v>
      </c>
      <c r="B5" s="2" t="s">
        <v>215</v>
      </c>
      <c r="C5" s="2" t="s">
        <v>252</v>
      </c>
      <c r="D5" s="2" t="s">
        <v>169</v>
      </c>
      <c r="E5" s="2" t="s">
        <v>265</v>
      </c>
      <c r="F5" s="2" t="s">
        <v>101</v>
      </c>
      <c r="G5" s="2" t="s">
        <v>205</v>
      </c>
      <c r="H5" s="12" t="s">
        <v>569</v>
      </c>
      <c r="I5" s="1"/>
      <c r="J5" s="1" t="str">
        <f>"CREATE TABLE "&amp;C3&amp;" ("</f>
        <v>CREATE TABLE MIX_RESULT (</v>
      </c>
      <c r="K5" s="1"/>
      <c r="L5" s="1"/>
      <c r="M5" s="1"/>
      <c r="N5" s="1"/>
      <c r="O5" s="1"/>
      <c r="P5" s="1"/>
      <c r="Q5" s="1"/>
      <c r="R5" s="1"/>
      <c r="S5" s="1" t="str">
        <f>"COMMENT ON TABLE " &amp; C3 &amp; " IS '" &amp; SUBSTITUTE(B3,"'","''") &amp; "'"</f>
        <v>COMMENT ON TABLE MIX_RESULT IS '배합 결과'</v>
      </c>
    </row>
    <row r="6" spans="1:19" x14ac:dyDescent="0.3">
      <c r="A6" s="2" t="s">
        <v>122</v>
      </c>
      <c r="B6" s="2" t="s">
        <v>35</v>
      </c>
      <c r="C6" s="2" t="s">
        <v>528</v>
      </c>
      <c r="D6" s="2"/>
      <c r="E6" s="2" t="s">
        <v>618</v>
      </c>
      <c r="F6" s="2">
        <v>20</v>
      </c>
      <c r="G6" s="2" t="s">
        <v>90</v>
      </c>
      <c r="H6" s="12"/>
      <c r="I6" s="1"/>
      <c r="J6" s="1" t="str">
        <f>""&amp;C6&amp;""</f>
        <v>PLANT_CODE</v>
      </c>
      <c r="K6" s="1" t="str">
        <f>""&amp;E6&amp;""</f>
        <v>NVARCHAR2</v>
      </c>
      <c r="L6" s="1" t="str">
        <f>IF(F6="","","(")</f>
        <v>(</v>
      </c>
      <c r="M6" s="1">
        <f>IF(F6="","",F6)</f>
        <v>20</v>
      </c>
      <c r="N6" s="1" t="str">
        <f>IF(F6="","",")")</f>
        <v>)</v>
      </c>
      <c r="O6" s="1" t="str">
        <f t="shared" ref="O6:O18" si="0">IF(H6&lt;&gt;"","DEFAULT "&amp;H6,"")</f>
        <v/>
      </c>
      <c r="P6" s="1" t="str">
        <f>IF(G6="N","NOT NULL","NULL")</f>
        <v>NOT NULL</v>
      </c>
      <c r="Q6" s="1" t="s">
        <v>113</v>
      </c>
      <c r="S6" s="1" t="str">
        <f>"COMMENT ON COLUMN " &amp; C3 &amp; "." &amp; C6 &amp; " IS '" &amp; B6 &amp; "'"</f>
        <v>COMMENT ON COLUMN MIX_RESULT.PLANT_CODE IS '고객사코드'</v>
      </c>
    </row>
    <row r="7" spans="1:19" x14ac:dyDescent="0.3">
      <c r="A7" s="2" t="s">
        <v>122</v>
      </c>
      <c r="B7" s="2" t="s">
        <v>245</v>
      </c>
      <c r="C7" s="2" t="s">
        <v>291</v>
      </c>
      <c r="D7" s="2"/>
      <c r="E7" s="2" t="s">
        <v>618</v>
      </c>
      <c r="F7" s="2">
        <v>20</v>
      </c>
      <c r="G7" s="2" t="s">
        <v>90</v>
      </c>
      <c r="H7" s="12"/>
      <c r="I7" s="1"/>
      <c r="J7" s="1" t="str">
        <f t="shared" ref="J7:J18" si="1">""&amp;C7&amp;""</f>
        <v>PROCESS_CODE</v>
      </c>
      <c r="K7" s="1" t="str">
        <f t="shared" ref="K7:K18" si="2">""&amp;E7&amp;""</f>
        <v>NVARCHAR2</v>
      </c>
      <c r="L7" s="1" t="str">
        <f t="shared" ref="L7:L18" si="3">IF(F7="","","(")</f>
        <v>(</v>
      </c>
      <c r="M7" s="1">
        <f t="shared" ref="M7:M18" si="4">IF(F7="","",F7)</f>
        <v>20</v>
      </c>
      <c r="N7" s="1" t="str">
        <f t="shared" ref="N7:N18" si="5">IF(F7="","",")")</f>
        <v>)</v>
      </c>
      <c r="O7" s="1" t="str">
        <f t="shared" si="0"/>
        <v/>
      </c>
      <c r="P7" s="1" t="str">
        <f t="shared" ref="P7:P18" si="6">IF(G7="N","NOT NULL","NULL")</f>
        <v>NOT NULL</v>
      </c>
      <c r="Q7" s="1" t="s">
        <v>113</v>
      </c>
      <c r="R7" s="1"/>
      <c r="S7" s="1" t="str">
        <f>"COMMENT ON COLUMN " &amp; C3 &amp; "." &amp; C7 &amp; " IS '" &amp; B7 &amp; "'"</f>
        <v>COMMENT ON COLUMN MIX_RESULT.PROCESS_CODE IS '공정코드'</v>
      </c>
    </row>
    <row r="8" spans="1:19" x14ac:dyDescent="0.3">
      <c r="A8" s="2" t="s">
        <v>122</v>
      </c>
      <c r="B8" s="2" t="s">
        <v>317</v>
      </c>
      <c r="C8" s="2" t="s">
        <v>312</v>
      </c>
      <c r="D8" s="2"/>
      <c r="E8" s="2" t="s">
        <v>618</v>
      </c>
      <c r="F8" s="2">
        <v>10</v>
      </c>
      <c r="G8" s="2" t="s">
        <v>90</v>
      </c>
      <c r="H8" s="12"/>
      <c r="I8" s="1"/>
      <c r="J8" s="1" t="str">
        <f t="shared" si="1"/>
        <v>WORK_DATE</v>
      </c>
      <c r="K8" s="1" t="str">
        <f t="shared" si="2"/>
        <v>NVARCHAR2</v>
      </c>
      <c r="L8" s="1" t="str">
        <f t="shared" si="3"/>
        <v>(</v>
      </c>
      <c r="M8" s="1">
        <f t="shared" si="4"/>
        <v>10</v>
      </c>
      <c r="N8" s="1" t="str">
        <f t="shared" si="5"/>
        <v>)</v>
      </c>
      <c r="O8" s="1" t="str">
        <f t="shared" si="0"/>
        <v/>
      </c>
      <c r="P8" s="1" t="str">
        <f t="shared" si="6"/>
        <v>NOT NULL</v>
      </c>
      <c r="Q8" s="1" t="s">
        <v>113</v>
      </c>
      <c r="R8" s="1"/>
      <c r="S8" s="1" t="str">
        <f>"COMMENT ON COLUMN " &amp; C3 &amp; "." &amp; C8 &amp; " IS '" &amp; B8 &amp; "'"</f>
        <v>COMMENT ON COLUMN MIX_RESULT.WORK_DATE IS '작업지시일'</v>
      </c>
    </row>
    <row r="9" spans="1:19" x14ac:dyDescent="0.3">
      <c r="A9" s="2" t="s">
        <v>122</v>
      </c>
      <c r="B9" s="2" t="s">
        <v>316</v>
      </c>
      <c r="C9" s="2" t="s">
        <v>313</v>
      </c>
      <c r="D9" s="2"/>
      <c r="E9" s="2" t="s">
        <v>545</v>
      </c>
      <c r="F9" s="2">
        <v>3</v>
      </c>
      <c r="G9" s="2" t="s">
        <v>90</v>
      </c>
      <c r="H9" s="12"/>
      <c r="I9" s="1"/>
      <c r="J9" s="1" t="str">
        <f t="shared" si="1"/>
        <v>WORK_NUM</v>
      </c>
      <c r="K9" s="1" t="str">
        <f t="shared" si="2"/>
        <v>NUMBER</v>
      </c>
      <c r="L9" s="1" t="str">
        <f t="shared" si="3"/>
        <v>(</v>
      </c>
      <c r="M9" s="1">
        <f t="shared" si="4"/>
        <v>3</v>
      </c>
      <c r="N9" s="1" t="str">
        <f t="shared" si="5"/>
        <v>)</v>
      </c>
      <c r="O9" s="1" t="str">
        <f t="shared" si="0"/>
        <v/>
      </c>
      <c r="P9" s="1" t="str">
        <f t="shared" si="6"/>
        <v>NOT NULL</v>
      </c>
      <c r="Q9" s="1" t="s">
        <v>113</v>
      </c>
      <c r="R9" s="1"/>
      <c r="S9" s="1" t="str">
        <f>"COMMENT ON COLUMN " &amp; C3 &amp; "." &amp; C9 &amp; " IS '" &amp; B9 &amp; "'"</f>
        <v>COMMENT ON COLUMN MIX_RESULT.WORK_NUM IS '작업지시순서'</v>
      </c>
    </row>
    <row r="10" spans="1:19" x14ac:dyDescent="0.3">
      <c r="A10" s="2"/>
      <c r="B10" s="2" t="s">
        <v>127</v>
      </c>
      <c r="C10" s="2" t="s">
        <v>278</v>
      </c>
      <c r="D10" s="2"/>
      <c r="E10" s="2" t="s">
        <v>545</v>
      </c>
      <c r="F10" s="2">
        <v>3</v>
      </c>
      <c r="G10" s="2"/>
      <c r="H10" s="12"/>
      <c r="I10" s="1"/>
      <c r="J10" s="1" t="str">
        <f t="shared" si="1"/>
        <v>BATCH_NUM</v>
      </c>
      <c r="K10" s="1" t="str">
        <f t="shared" si="2"/>
        <v>NUMBER</v>
      </c>
      <c r="L10" s="1" t="str">
        <f t="shared" si="3"/>
        <v>(</v>
      </c>
      <c r="M10" s="1">
        <f t="shared" si="4"/>
        <v>3</v>
      </c>
      <c r="N10" s="1" t="str">
        <f t="shared" si="5"/>
        <v>)</v>
      </c>
      <c r="O10" s="1" t="str">
        <f t="shared" si="0"/>
        <v/>
      </c>
      <c r="P10" s="1" t="str">
        <f t="shared" si="6"/>
        <v>NULL</v>
      </c>
      <c r="Q10" s="1" t="s">
        <v>113</v>
      </c>
      <c r="R10" s="1"/>
      <c r="S10" s="1" t="str">
        <f>"COMMENT ON COLUMN " &amp; C3 &amp; "." &amp; C10 &amp; " IS '" &amp; B10 &amp; "'"</f>
        <v>COMMENT ON COLUMN MIX_RESULT.BATCH_NUM IS '배치번호'</v>
      </c>
    </row>
    <row r="11" spans="1:19" x14ac:dyDescent="0.3">
      <c r="A11" s="2"/>
      <c r="B11" s="12" t="s">
        <v>763</v>
      </c>
      <c r="C11" s="12" t="s">
        <v>764</v>
      </c>
      <c r="D11" s="2"/>
      <c r="E11" s="12" t="s">
        <v>546</v>
      </c>
      <c r="F11" s="2">
        <v>3</v>
      </c>
      <c r="G11" s="2"/>
      <c r="H11" s="12"/>
      <c r="I11" s="1"/>
      <c r="J11" s="1" t="str">
        <f t="shared" si="1"/>
        <v>SEQ</v>
      </c>
      <c r="K11" s="1" t="str">
        <f t="shared" si="2"/>
        <v>NUMBER</v>
      </c>
      <c r="L11" s="1" t="str">
        <f t="shared" si="3"/>
        <v>(</v>
      </c>
      <c r="M11" s="1">
        <f t="shared" si="4"/>
        <v>3</v>
      </c>
      <c r="N11" s="1" t="str">
        <f t="shared" si="5"/>
        <v>)</v>
      </c>
      <c r="O11" s="1" t="str">
        <f t="shared" si="0"/>
        <v/>
      </c>
      <c r="P11" s="1" t="str">
        <f t="shared" si="6"/>
        <v>NULL</v>
      </c>
      <c r="Q11" s="1" t="s">
        <v>113</v>
      </c>
      <c r="R11" s="1"/>
      <c r="S11" s="1" t="str">
        <f>"COMMENT ON COLUMN " &amp; C3 &amp; "." &amp; C11 &amp; " IS '" &amp; B11 &amp; "'"</f>
        <v>COMMENT ON COLUMN MIX_RESULT.SEQ IS '계량순서'</v>
      </c>
    </row>
    <row r="12" spans="1:19" x14ac:dyDescent="0.3">
      <c r="A12" s="2"/>
      <c r="B12" s="2" t="s">
        <v>358</v>
      </c>
      <c r="C12" s="2" t="s">
        <v>285</v>
      </c>
      <c r="D12" s="2"/>
      <c r="E12" s="2" t="s">
        <v>618</v>
      </c>
      <c r="F12" s="2">
        <v>20</v>
      </c>
      <c r="G12" s="2"/>
      <c r="H12" s="12"/>
      <c r="I12" s="1"/>
      <c r="J12" s="1" t="str">
        <f t="shared" si="1"/>
        <v>MIX_MATERIAL_ID</v>
      </c>
      <c r="K12" s="1" t="str">
        <f t="shared" si="2"/>
        <v>NVARCHAR2</v>
      </c>
      <c r="L12" s="1" t="str">
        <f t="shared" si="3"/>
        <v>(</v>
      </c>
      <c r="M12" s="1">
        <f t="shared" si="4"/>
        <v>20</v>
      </c>
      <c r="N12" s="1" t="str">
        <f t="shared" si="5"/>
        <v>)</v>
      </c>
      <c r="O12" s="1" t="str">
        <f t="shared" si="0"/>
        <v/>
      </c>
      <c r="P12" s="1" t="str">
        <f t="shared" si="6"/>
        <v>NULL</v>
      </c>
      <c r="Q12" s="1" t="s">
        <v>113</v>
      </c>
      <c r="R12" s="1"/>
      <c r="S12" s="1" t="str">
        <f>"COMMENT ON COLUMN " &amp; C3 &amp; "." &amp; C12 &amp; " IS '" &amp; B12 &amp; "'"</f>
        <v>COMMENT ON COLUMN MIX_RESULT.MIX_MATERIAL_ID IS '부원료코드'</v>
      </c>
    </row>
    <row r="13" spans="1:19" x14ac:dyDescent="0.3">
      <c r="A13" s="2"/>
      <c r="B13" s="12" t="s">
        <v>765</v>
      </c>
      <c r="C13" s="22" t="s">
        <v>770</v>
      </c>
      <c r="D13" s="2"/>
      <c r="E13" s="2" t="s">
        <v>545</v>
      </c>
      <c r="F13" s="2" t="s">
        <v>353</v>
      </c>
      <c r="G13" s="2"/>
      <c r="H13" s="12"/>
      <c r="I13" s="1"/>
      <c r="J13" s="1" t="str">
        <f t="shared" si="1"/>
        <v>RESULT_QTY_ACT</v>
      </c>
      <c r="K13" s="1" t="str">
        <f t="shared" si="2"/>
        <v>NUMBER</v>
      </c>
      <c r="L13" s="1" t="str">
        <f t="shared" si="3"/>
        <v>(</v>
      </c>
      <c r="M13" s="1" t="str">
        <f t="shared" si="4"/>
        <v>15, 3</v>
      </c>
      <c r="N13" s="1" t="str">
        <f t="shared" si="5"/>
        <v>)</v>
      </c>
      <c r="O13" s="1" t="str">
        <f t="shared" si="0"/>
        <v/>
      </c>
      <c r="P13" s="1" t="str">
        <f t="shared" si="6"/>
        <v>NULL</v>
      </c>
      <c r="Q13" s="1" t="s">
        <v>113</v>
      </c>
      <c r="R13" s="1"/>
      <c r="S13" s="1" t="str">
        <f>"COMMENT ON COLUMN " &amp; C3 &amp; "." &amp; C13 &amp; " IS '" &amp; B13 &amp; "'"</f>
        <v>COMMENT ON COLUMN MIX_RESULT.RESULT_QTY_ACT IS '계량값'</v>
      </c>
    </row>
    <row r="14" spans="1:19" x14ac:dyDescent="0.3">
      <c r="A14" s="2"/>
      <c r="B14" s="2" t="s">
        <v>331</v>
      </c>
      <c r="C14" t="s">
        <v>769</v>
      </c>
      <c r="D14" s="2"/>
      <c r="E14" s="2" t="s">
        <v>545</v>
      </c>
      <c r="F14" s="2" t="s">
        <v>353</v>
      </c>
      <c r="G14" s="2"/>
      <c r="H14" s="12"/>
      <c r="I14" s="1"/>
      <c r="J14" s="1" t="str">
        <f t="shared" si="1"/>
        <v>RESULT_QTY_SET</v>
      </c>
      <c r="K14" s="1" t="str">
        <f t="shared" si="2"/>
        <v>NUMBER</v>
      </c>
      <c r="L14" s="1" t="str">
        <f t="shared" si="3"/>
        <v>(</v>
      </c>
      <c r="M14" s="1" t="str">
        <f t="shared" si="4"/>
        <v>15, 3</v>
      </c>
      <c r="N14" s="1" t="str">
        <f t="shared" si="5"/>
        <v>)</v>
      </c>
      <c r="O14" s="1" t="str">
        <f t="shared" si="0"/>
        <v/>
      </c>
      <c r="P14" s="1" t="str">
        <f t="shared" si="6"/>
        <v>NULL</v>
      </c>
      <c r="Q14" s="1" t="s">
        <v>113</v>
      </c>
      <c r="R14" s="1"/>
      <c r="S14" s="1" t="str">
        <f>"COMMENT ON COLUMN " &amp; C3 &amp; "." &amp; C14 &amp; " IS '" &amp; B14 &amp; "'"</f>
        <v>COMMENT ON COLUMN MIX_RESULT.RESULT_QTY_SET IS '설정값'</v>
      </c>
    </row>
    <row r="15" spans="1:19" x14ac:dyDescent="0.3">
      <c r="A15" s="2"/>
      <c r="B15" s="2" t="s">
        <v>111</v>
      </c>
      <c r="C15" s="2" t="s">
        <v>790</v>
      </c>
      <c r="D15" s="2" t="s">
        <v>188</v>
      </c>
      <c r="E15" s="2" t="s">
        <v>618</v>
      </c>
      <c r="F15" s="2">
        <v>20</v>
      </c>
      <c r="G15" s="2" t="s">
        <v>90</v>
      </c>
      <c r="H15" s="15"/>
      <c r="I15" s="1"/>
      <c r="J15" s="1" t="str">
        <f t="shared" si="1"/>
        <v>INITBY</v>
      </c>
      <c r="K15" s="1" t="str">
        <f t="shared" si="2"/>
        <v>NVARCHAR2</v>
      </c>
      <c r="L15" s="1" t="str">
        <f t="shared" si="3"/>
        <v>(</v>
      </c>
      <c r="M15" s="1">
        <f t="shared" si="4"/>
        <v>20</v>
      </c>
      <c r="N15" s="1" t="str">
        <f t="shared" si="5"/>
        <v>)</v>
      </c>
      <c r="O15" s="1" t="str">
        <f t="shared" si="0"/>
        <v/>
      </c>
      <c r="P15" s="1" t="str">
        <f t="shared" si="6"/>
        <v>NOT NULL</v>
      </c>
      <c r="Q15" s="1" t="s">
        <v>113</v>
      </c>
      <c r="R15" s="1"/>
      <c r="S15" s="1" t="str">
        <f>"COMMENT ON COLUMN " &amp; C3 &amp; "." &amp; C15 &amp; " IS '" &amp; B15 &amp; "'"</f>
        <v>COMMENT ON COLUMN MIX_RESULT.INITBY IS '입력자'</v>
      </c>
    </row>
    <row r="16" spans="1:19" x14ac:dyDescent="0.3">
      <c r="A16" s="2"/>
      <c r="B16" s="2" t="s">
        <v>254</v>
      </c>
      <c r="C16" s="2" t="s">
        <v>791</v>
      </c>
      <c r="D16" s="2" t="s">
        <v>254</v>
      </c>
      <c r="E16" s="2" t="s">
        <v>228</v>
      </c>
      <c r="F16" s="2"/>
      <c r="G16" s="2" t="s">
        <v>90</v>
      </c>
      <c r="H16" s="12" t="s">
        <v>570</v>
      </c>
      <c r="I16" s="1"/>
      <c r="J16" s="1" t="str">
        <f t="shared" si="1"/>
        <v>INITDTTM</v>
      </c>
      <c r="K16" s="1" t="str">
        <f t="shared" si="2"/>
        <v>DATE</v>
      </c>
      <c r="L16" s="1" t="str">
        <f t="shared" si="3"/>
        <v/>
      </c>
      <c r="M16" s="1" t="str">
        <f t="shared" si="4"/>
        <v/>
      </c>
      <c r="N16" s="1" t="str">
        <f t="shared" si="5"/>
        <v/>
      </c>
      <c r="O16" s="1" t="str">
        <f t="shared" si="0"/>
        <v>DEFAULT SYSDATE</v>
      </c>
      <c r="P16" s="1" t="str">
        <f t="shared" si="6"/>
        <v>NOT NULL</v>
      </c>
      <c r="Q16" s="1" t="s">
        <v>113</v>
      </c>
      <c r="R16" s="1"/>
      <c r="S16" s="1" t="str">
        <f>"COMMENT ON COLUMN " &amp; C3 &amp; "." &amp; C16 &amp; " IS '" &amp; B16 &amp; "'"</f>
        <v>COMMENT ON COLUMN MIX_RESULT.INITDTTM IS '입력일시'</v>
      </c>
    </row>
    <row r="17" spans="1:19" x14ac:dyDescent="0.3">
      <c r="A17" s="2"/>
      <c r="B17" s="2" t="s">
        <v>99</v>
      </c>
      <c r="C17" s="2" t="s">
        <v>793</v>
      </c>
      <c r="D17" s="2" t="s">
        <v>197</v>
      </c>
      <c r="E17" s="2" t="s">
        <v>618</v>
      </c>
      <c r="F17" s="2">
        <v>20</v>
      </c>
      <c r="G17" s="2" t="s">
        <v>122</v>
      </c>
      <c r="H17" s="15"/>
      <c r="I17" s="1"/>
      <c r="J17" s="1" t="str">
        <f t="shared" si="1"/>
        <v>UPBY</v>
      </c>
      <c r="K17" s="1" t="str">
        <f t="shared" si="2"/>
        <v>NVARCHAR2</v>
      </c>
      <c r="L17" s="1" t="str">
        <f t="shared" si="3"/>
        <v>(</v>
      </c>
      <c r="M17" s="1">
        <f t="shared" si="4"/>
        <v>20</v>
      </c>
      <c r="N17" s="1" t="str">
        <f t="shared" si="5"/>
        <v>)</v>
      </c>
      <c r="O17" s="1" t="str">
        <f t="shared" si="0"/>
        <v/>
      </c>
      <c r="P17" s="1" t="str">
        <f t="shared" si="6"/>
        <v>NULL</v>
      </c>
      <c r="Q17" s="1" t="s">
        <v>113</v>
      </c>
      <c r="R17" s="1"/>
      <c r="S17" s="1" t="str">
        <f>"COMMENT ON COLUMN " &amp; C3 &amp; "." &amp; C17 &amp; " IS '" &amp; B17 &amp; "'"</f>
        <v>COMMENT ON COLUMN MIX_RESULT.UPBY IS '수정자'</v>
      </c>
    </row>
    <row r="18" spans="1:19" x14ac:dyDescent="0.3">
      <c r="A18" s="2"/>
      <c r="B18" s="2" t="s">
        <v>259</v>
      </c>
      <c r="C18" s="2" t="s">
        <v>792</v>
      </c>
      <c r="D18" s="2" t="s">
        <v>259</v>
      </c>
      <c r="E18" s="2" t="s">
        <v>228</v>
      </c>
      <c r="F18" s="2"/>
      <c r="G18" s="2" t="s">
        <v>122</v>
      </c>
      <c r="H18" s="12"/>
      <c r="I18" s="1"/>
      <c r="J18" s="1" t="str">
        <f t="shared" si="1"/>
        <v>UPDTTM</v>
      </c>
      <c r="K18" s="1" t="str">
        <f t="shared" si="2"/>
        <v>DATE</v>
      </c>
      <c r="L18" s="1" t="str">
        <f t="shared" si="3"/>
        <v/>
      </c>
      <c r="M18" s="1" t="str">
        <f t="shared" si="4"/>
        <v/>
      </c>
      <c r="N18" s="1" t="str">
        <f t="shared" si="5"/>
        <v/>
      </c>
      <c r="O18" s="1" t="str">
        <f t="shared" si="0"/>
        <v/>
      </c>
      <c r="P18" s="1" t="str">
        <f t="shared" si="6"/>
        <v>NULL</v>
      </c>
      <c r="Q18" s="21" t="s">
        <v>723</v>
      </c>
      <c r="R18" s="1"/>
      <c r="S18" s="1" t="str">
        <f>"COMMENT ON COLUMN " &amp; C3 &amp; "." &amp; C18 &amp; " IS '" &amp; B18 &amp; "'"</f>
        <v>COMMENT ON COLUMN MIX_RESULT.UPDTTM IS '수정일시'</v>
      </c>
    </row>
    <row r="19" spans="1:19" x14ac:dyDescent="0.3">
      <c r="J19" s="13" t="str">
        <f>"ALTER TABLE "&amp;C3&amp;""</f>
        <v>ALTER TABLE MIX_RESULT</v>
      </c>
    </row>
    <row r="20" spans="1:19" x14ac:dyDescent="0.3">
      <c r="J20" s="13" t="str" cm="1">
        <f t="array" ref="J20">"ADD CONSTRAINT PK_"&amp;C3&amp;" PRIMARY KEY (" &amp; _xlfn.TEXTJOIN(", ", TRUE, _xlfn._xlws.FILTER(C6:C63, A6:A63="Y")) &amp; ")"</f>
        <v>ADD CONSTRAINT PK_MIX_RESULT PRIMARY KEY (PLANT_CODE, PROCESS_CODE, WORK_DATE, WORK_NUM)</v>
      </c>
    </row>
  </sheetData>
  <phoneticPr fontId="7" type="noConversion"/>
  <hyperlinks>
    <hyperlink ref="A1" location="리스트!A1" display="리스트로 이동" xr:uid="{CF3688E0-E079-4C5D-8405-2B13A13E4EDF}"/>
  </hyperlinks>
  <pageMargins left="0.74805557727813721" right="0.74805557727813721" top="0.98430556058883667" bottom="0.98430556058883667" header="0.51166665554046631" footer="0.51166665554046631"/>
  <pageSetup paperSize="9" fitToWidth="0" fitToHeight="0" orientation="portrait" horizontalDpi="0" verticalDpi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3"/>
  <dimension ref="A1:Q41"/>
  <sheetViews>
    <sheetView zoomScaleNormal="100" zoomScaleSheetLayoutView="100" workbookViewId="0">
      <selection activeCell="I3" sqref="I3:P3"/>
    </sheetView>
  </sheetViews>
  <sheetFormatPr defaultColWidth="9" defaultRowHeight="16.5" x14ac:dyDescent="0.3"/>
  <cols>
    <col min="1" max="1" width="8.625" bestFit="1" customWidth="1"/>
    <col min="2" max="2" width="13.75" bestFit="1" customWidth="1"/>
    <col min="3" max="3" width="19.5" bestFit="1" customWidth="1"/>
    <col min="4" max="4" width="19.375" bestFit="1" customWidth="1"/>
    <col min="5" max="5" width="12.75" bestFit="1" customWidth="1"/>
    <col min="6" max="6" width="7.125" bestFit="1" customWidth="1"/>
    <col min="7" max="7" width="9" bestFit="1" customWidth="1"/>
    <col min="9" max="10" width="16.875" customWidth="1"/>
    <col min="11" max="11" width="1.625" bestFit="1" customWidth="1"/>
    <col min="12" max="12" width="3" bestFit="1" customWidth="1"/>
    <col min="13" max="13" width="1.625" bestFit="1" customWidth="1"/>
    <col min="14" max="15" width="10.125" bestFit="1" customWidth="1"/>
    <col min="16" max="16" width="16.875" customWidth="1"/>
  </cols>
  <sheetData>
    <row r="1" spans="1:17" x14ac:dyDescent="0.3">
      <c r="A1" s="16" t="s">
        <v>615</v>
      </c>
    </row>
    <row r="2" spans="1:17" x14ac:dyDescent="0.3">
      <c r="A2" s="2"/>
      <c r="B2" s="2" t="s">
        <v>116</v>
      </c>
      <c r="C2" s="2" t="s">
        <v>119</v>
      </c>
      <c r="D2" s="2" t="s">
        <v>112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3">
      <c r="A3" s="2"/>
      <c r="B3" s="2" t="s">
        <v>277</v>
      </c>
      <c r="C3" s="2" t="s">
        <v>319</v>
      </c>
      <c r="D3" s="2"/>
      <c r="E3" s="1"/>
      <c r="F3" s="1"/>
      <c r="G3" s="1"/>
      <c r="H3" s="1"/>
      <c r="I3" s="13" t="str">
        <f>"DROP TABLE "&amp;B3&amp;" CASCADE CONSTRAINTS PURGE"</f>
        <v>DROP TABLE 분쇄작업지시 CASCADE CONSTRAINTS PURGE</v>
      </c>
      <c r="J3" s="1"/>
      <c r="K3" s="1"/>
      <c r="L3" s="1"/>
      <c r="M3" s="1"/>
      <c r="N3" s="1"/>
      <c r="O3" s="21"/>
      <c r="P3" s="21" t="s">
        <v>771</v>
      </c>
      <c r="Q3" s="1"/>
    </row>
    <row r="4" spans="1:17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 t="s">
        <v>256</v>
      </c>
    </row>
    <row r="5" spans="1:17" x14ac:dyDescent="0.3">
      <c r="A5" s="2" t="s">
        <v>88</v>
      </c>
      <c r="B5" s="2" t="s">
        <v>215</v>
      </c>
      <c r="C5" s="2" t="s">
        <v>252</v>
      </c>
      <c r="D5" s="2" t="s">
        <v>169</v>
      </c>
      <c r="E5" s="2" t="s">
        <v>265</v>
      </c>
      <c r="F5" s="2" t="s">
        <v>101</v>
      </c>
      <c r="G5" s="2" t="s">
        <v>205</v>
      </c>
      <c r="H5" s="1"/>
      <c r="I5" s="1" t="str">
        <f>"CREATE TABLE "&amp;C3&amp;" ("</f>
        <v>CREATE TABLE SMASH (</v>
      </c>
      <c r="J5" s="1"/>
      <c r="K5" s="1"/>
      <c r="L5" s="1"/>
      <c r="M5" s="1"/>
      <c r="N5" s="1"/>
      <c r="O5" s="1"/>
      <c r="P5" s="1"/>
      <c r="Q5" s="1"/>
    </row>
    <row r="6" spans="1:17" s="1" customFormat="1" x14ac:dyDescent="0.3">
      <c r="A6" s="2" t="s">
        <v>122</v>
      </c>
      <c r="B6" s="2" t="s">
        <v>35</v>
      </c>
      <c r="C6" s="2" t="s">
        <v>528</v>
      </c>
      <c r="D6" s="2" t="s">
        <v>71</v>
      </c>
      <c r="E6" s="2" t="s">
        <v>618</v>
      </c>
      <c r="F6" s="2">
        <v>20</v>
      </c>
      <c r="G6" s="2" t="s">
        <v>90</v>
      </c>
      <c r="I6" s="1" t="str">
        <f t="shared" ref="I6:I27" si="0">""&amp;C6&amp;""</f>
        <v>PLANT_CODE</v>
      </c>
      <c r="J6" s="1" t="str">
        <f t="shared" ref="J6:J27" si="1">""&amp;E6&amp;""</f>
        <v>NVARCHAR2</v>
      </c>
      <c r="K6" s="1" t="str">
        <f t="shared" ref="K6:K31" si="2">IF(F6="","","(")</f>
        <v>(</v>
      </c>
      <c r="L6" s="1">
        <f t="shared" ref="L6:L31" si="3">IF(F6="","",F6)</f>
        <v>20</v>
      </c>
      <c r="M6" s="1" t="str">
        <f t="shared" ref="M6:M31" si="4">IF(F6="","",")")</f>
        <v>)</v>
      </c>
      <c r="N6" s="1" t="str">
        <f>IF(G6="N","NOT NULL","NULL")</f>
        <v>NOT NULL</v>
      </c>
      <c r="O6" s="1" t="s">
        <v>113</v>
      </c>
      <c r="Q6" s="1" t="e">
        <f>"EXEC SP_ADDEXTENDEDPROPERTY 'MS_Description', '"&amp;D6&amp;"', 'USER', dbo, 'TABLE', '"&amp;#REF!&amp;"', 'COLUMN', '"&amp;C6&amp;"'"</f>
        <v>#REF!</v>
      </c>
    </row>
    <row r="7" spans="1:17" s="1" customFormat="1" x14ac:dyDescent="0.3">
      <c r="A7" s="2" t="s">
        <v>122</v>
      </c>
      <c r="B7" s="2" t="s">
        <v>245</v>
      </c>
      <c r="C7" s="2" t="s">
        <v>291</v>
      </c>
      <c r="D7" s="2" t="s">
        <v>294</v>
      </c>
      <c r="E7" s="2" t="s">
        <v>618</v>
      </c>
      <c r="F7" s="2">
        <v>20</v>
      </c>
      <c r="G7" s="2" t="s">
        <v>90</v>
      </c>
      <c r="I7" s="1" t="str">
        <f t="shared" si="0"/>
        <v>PROCESS_CODE</v>
      </c>
      <c r="J7" s="1" t="str">
        <f t="shared" si="1"/>
        <v>NVARCHAR2</v>
      </c>
      <c r="K7" s="1" t="str">
        <f t="shared" si="2"/>
        <v>(</v>
      </c>
      <c r="L7" s="1">
        <f t="shared" si="3"/>
        <v>20</v>
      </c>
      <c r="M7" s="1" t="str">
        <f t="shared" si="4"/>
        <v>)</v>
      </c>
      <c r="N7" s="1" t="str">
        <f>IF(G7="N","NOT NULL","NULL")</f>
        <v>NOT NULL</v>
      </c>
      <c r="O7" s="1" t="s">
        <v>113</v>
      </c>
      <c r="Q7" s="1" t="e">
        <f>"EXEC SP_ADDEXTENDEDPROPERTY 'MS_Description', '"&amp;D7&amp;"', 'USER', dbo, 'TABLE', '"&amp;#REF!&amp;"', 'COLUMN', '"&amp;C7&amp;"'"</f>
        <v>#REF!</v>
      </c>
    </row>
    <row r="8" spans="1:17" s="1" customFormat="1" x14ac:dyDescent="0.3">
      <c r="A8" s="2" t="s">
        <v>122</v>
      </c>
      <c r="B8" s="2" t="s">
        <v>317</v>
      </c>
      <c r="C8" s="2" t="s">
        <v>312</v>
      </c>
      <c r="D8" s="2" t="s">
        <v>426</v>
      </c>
      <c r="E8" s="2" t="s">
        <v>618</v>
      </c>
      <c r="F8" s="2">
        <v>10</v>
      </c>
      <c r="G8" s="2" t="s">
        <v>90</v>
      </c>
      <c r="I8" s="1" t="str">
        <f t="shared" si="0"/>
        <v>WORK_DATE</v>
      </c>
      <c r="J8" s="1" t="str">
        <f t="shared" si="1"/>
        <v>NVARCHAR2</v>
      </c>
      <c r="K8" s="1" t="str">
        <f t="shared" si="2"/>
        <v>(</v>
      </c>
      <c r="L8" s="1">
        <f t="shared" si="3"/>
        <v>10</v>
      </c>
      <c r="M8" s="1" t="str">
        <f t="shared" si="4"/>
        <v>)</v>
      </c>
      <c r="N8" s="1" t="str">
        <f>IF(G8="N","NOT NULL","NULL")</f>
        <v>NOT NULL</v>
      </c>
      <c r="O8" s="1" t="s">
        <v>113</v>
      </c>
      <c r="Q8" s="1" t="e">
        <f>"EXEC SP_ADDEXTENDEDPROPERTY 'MS_Description', '"&amp;D8&amp;"', 'USER', dbo, 'TABLE', '"&amp;#REF!&amp;"', 'COLUMN', '"&amp;C8&amp;"'"</f>
        <v>#REF!</v>
      </c>
    </row>
    <row r="9" spans="1:17" s="1" customFormat="1" x14ac:dyDescent="0.3">
      <c r="A9" s="2" t="s">
        <v>122</v>
      </c>
      <c r="B9" s="2" t="s">
        <v>316</v>
      </c>
      <c r="C9" s="2" t="s">
        <v>313</v>
      </c>
      <c r="D9" s="2" t="s">
        <v>316</v>
      </c>
      <c r="E9" s="2" t="s">
        <v>545</v>
      </c>
      <c r="F9" s="2"/>
      <c r="G9" s="2" t="s">
        <v>90</v>
      </c>
      <c r="I9" s="1" t="str">
        <f t="shared" si="0"/>
        <v>WORK_NUM</v>
      </c>
      <c r="J9" s="1" t="str">
        <f t="shared" si="1"/>
        <v>NUMBER</v>
      </c>
      <c r="K9" s="1" t="str">
        <f t="shared" si="2"/>
        <v/>
      </c>
      <c r="L9" s="1" t="str">
        <f t="shared" si="3"/>
        <v/>
      </c>
      <c r="M9" s="1" t="str">
        <f t="shared" si="4"/>
        <v/>
      </c>
      <c r="N9" s="1" t="str">
        <f>IF(G9="N","NOT NULL","NULL")</f>
        <v>NOT NULL</v>
      </c>
      <c r="O9" s="1" t="s">
        <v>113</v>
      </c>
      <c r="Q9" s="1" t="e">
        <f>"EXEC SP_ADDEXTENDEDPROPERTY 'MS_Description', '"&amp;D9&amp;"', 'USER', dbo, 'TABLE', '"&amp;#REF!&amp;"', 'COLUMN', '"&amp;C9&amp;"'"</f>
        <v>#REF!</v>
      </c>
    </row>
    <row r="10" spans="1:17" s="1" customFormat="1" x14ac:dyDescent="0.3">
      <c r="A10" s="2"/>
      <c r="B10" s="2" t="s">
        <v>255</v>
      </c>
      <c r="C10" s="2" t="s">
        <v>288</v>
      </c>
      <c r="D10" s="2" t="s">
        <v>255</v>
      </c>
      <c r="E10" s="2" t="s">
        <v>618</v>
      </c>
      <c r="F10" s="2">
        <v>20</v>
      </c>
      <c r="G10" s="2"/>
      <c r="I10" s="1" t="str">
        <f t="shared" si="0"/>
        <v>MATERIAL_CODE</v>
      </c>
      <c r="J10" s="1" t="str">
        <f t="shared" si="1"/>
        <v>NVARCHAR2</v>
      </c>
      <c r="K10" s="1" t="str">
        <f t="shared" si="2"/>
        <v>(</v>
      </c>
      <c r="L10" s="1">
        <f t="shared" si="3"/>
        <v>20</v>
      </c>
      <c r="M10" s="1" t="str">
        <f t="shared" si="4"/>
        <v>)</v>
      </c>
      <c r="N10" s="1" t="str">
        <f>IF(G10="N","NOT NULL","NULL")</f>
        <v>NULL</v>
      </c>
      <c r="O10" s="1" t="s">
        <v>113</v>
      </c>
      <c r="Q10" s="1" t="e">
        <f>"EXEC SP_ADDEXTENDEDPROPERTY 'MS_Description', '"&amp;D10&amp;"', 'USER', dbo, 'TABLE', '"&amp;#REF!&amp;"', 'COLUMN', '"&amp;C10&amp;"'"</f>
        <v>#REF!</v>
      </c>
    </row>
    <row r="11" spans="1:17" s="1" customFormat="1" x14ac:dyDescent="0.3">
      <c r="A11" s="2"/>
      <c r="B11" s="2" t="s">
        <v>47</v>
      </c>
      <c r="C11" s="2" t="s">
        <v>144</v>
      </c>
      <c r="D11" s="2" t="s">
        <v>47</v>
      </c>
      <c r="E11" s="2" t="s">
        <v>618</v>
      </c>
      <c r="F11" s="2">
        <v>20</v>
      </c>
      <c r="G11" s="2"/>
      <c r="I11" s="1" t="str">
        <f t="shared" si="0"/>
        <v>RECIPE_VER</v>
      </c>
      <c r="J11" s="1" t="str">
        <f t="shared" si="1"/>
        <v>NVARCHAR2</v>
      </c>
      <c r="K11" s="1" t="str">
        <f t="shared" si="2"/>
        <v>(</v>
      </c>
      <c r="L11" s="1">
        <f t="shared" si="3"/>
        <v>20</v>
      </c>
      <c r="M11" s="1" t="str">
        <f t="shared" si="4"/>
        <v>)</v>
      </c>
      <c r="N11" s="1" t="str">
        <f t="shared" ref="N11:N16" si="5">IF(G11="N","NOT NULL","NULL")</f>
        <v>NULL</v>
      </c>
      <c r="O11" s="1" t="s">
        <v>113</v>
      </c>
      <c r="Q11" s="1" t="e">
        <f>"EXEC SP_ADDEXTENDEDPROPERTY 'MS_Description', '"&amp;D11&amp;"', 'USER', dbo, 'TABLE', '"&amp;#REF!&amp;"', 'COLUMN', '"&amp;C11&amp;"'"</f>
        <v>#REF!</v>
      </c>
    </row>
    <row r="12" spans="1:17" s="1" customFormat="1" x14ac:dyDescent="0.3">
      <c r="A12" s="2"/>
      <c r="B12" s="2" t="s">
        <v>428</v>
      </c>
      <c r="C12" s="2" t="s">
        <v>315</v>
      </c>
      <c r="D12" s="2" t="s">
        <v>428</v>
      </c>
      <c r="E12" s="2" t="s">
        <v>618</v>
      </c>
      <c r="F12" s="2">
        <v>20</v>
      </c>
      <c r="G12" s="2"/>
      <c r="I12" s="1" t="str">
        <f t="shared" si="0"/>
        <v>WORKER</v>
      </c>
      <c r="J12" s="1" t="str">
        <f t="shared" si="1"/>
        <v>NVARCHAR2</v>
      </c>
      <c r="K12" s="1" t="str">
        <f t="shared" si="2"/>
        <v>(</v>
      </c>
      <c r="L12" s="1">
        <f t="shared" si="3"/>
        <v>20</v>
      </c>
      <c r="M12" s="1" t="str">
        <f t="shared" si="4"/>
        <v>)</v>
      </c>
      <c r="N12" s="1" t="str">
        <f t="shared" si="5"/>
        <v>NULL</v>
      </c>
      <c r="O12" s="1" t="s">
        <v>113</v>
      </c>
      <c r="Q12" s="1" t="e">
        <f>"EXEC SP_ADDEXTENDEDPROPERTY 'MS_Description', '"&amp;D12&amp;"', 'USER', dbo, 'TABLE', '"&amp;#REF!&amp;"', 'COLUMN', '"&amp;C12&amp;"'"</f>
        <v>#REF!</v>
      </c>
    </row>
    <row r="13" spans="1:17" s="1" customFormat="1" x14ac:dyDescent="0.3">
      <c r="A13" s="2"/>
      <c r="B13" s="2" t="s">
        <v>36</v>
      </c>
      <c r="C13" s="2" t="s">
        <v>302</v>
      </c>
      <c r="D13" s="2" t="s">
        <v>36</v>
      </c>
      <c r="E13" s="2" t="s">
        <v>618</v>
      </c>
      <c r="F13" s="2">
        <v>10</v>
      </c>
      <c r="G13" s="2"/>
      <c r="I13" s="1" t="str">
        <f t="shared" si="0"/>
        <v>WORK_STATE</v>
      </c>
      <c r="J13" s="1" t="str">
        <f t="shared" si="1"/>
        <v>NVARCHAR2</v>
      </c>
      <c r="K13" s="1" t="str">
        <f t="shared" si="2"/>
        <v>(</v>
      </c>
      <c r="L13" s="1">
        <f t="shared" si="3"/>
        <v>10</v>
      </c>
      <c r="M13" s="1" t="str">
        <f t="shared" si="4"/>
        <v>)</v>
      </c>
      <c r="N13" s="1" t="str">
        <f t="shared" si="5"/>
        <v>NULL</v>
      </c>
      <c r="O13" s="1" t="s">
        <v>113</v>
      </c>
      <c r="Q13" s="1" t="e">
        <f>"EXEC SP_ADDEXTENDEDPROPERTY 'MS_Description', '"&amp;D13&amp;"', 'USER', dbo, 'TABLE', '"&amp;#REF!&amp;"', 'COLUMN', '"&amp;C13&amp;"'"</f>
        <v>#REF!</v>
      </c>
    </row>
    <row r="14" spans="1:17" s="1" customFormat="1" x14ac:dyDescent="0.3">
      <c r="A14" s="2"/>
      <c r="B14" s="2" t="s">
        <v>334</v>
      </c>
      <c r="C14" s="2" t="s">
        <v>304</v>
      </c>
      <c r="D14" s="2" t="s">
        <v>31</v>
      </c>
      <c r="E14" s="2" t="s">
        <v>228</v>
      </c>
      <c r="F14" s="2"/>
      <c r="G14" s="2"/>
      <c r="I14" s="1" t="str">
        <f t="shared" si="0"/>
        <v>START_TIME</v>
      </c>
      <c r="J14" s="1" t="str">
        <f t="shared" si="1"/>
        <v>DATE</v>
      </c>
      <c r="K14" s="1" t="str">
        <f t="shared" si="2"/>
        <v/>
      </c>
      <c r="L14" s="1" t="str">
        <f t="shared" si="3"/>
        <v/>
      </c>
      <c r="M14" s="1" t="str">
        <f t="shared" si="4"/>
        <v/>
      </c>
      <c r="N14" s="1" t="str">
        <f t="shared" si="5"/>
        <v>NULL</v>
      </c>
      <c r="O14" s="1" t="s">
        <v>113</v>
      </c>
      <c r="Q14" s="1" t="e">
        <f>"EXEC SP_ADDEXTENDEDPROPERTY 'MS_Description', '"&amp;D14&amp;"', 'USER', dbo, 'TABLE', '"&amp;#REF!&amp;"', 'COLUMN', '"&amp;C14&amp;"'"</f>
        <v>#REF!</v>
      </c>
    </row>
    <row r="15" spans="1:17" s="1" customFormat="1" x14ac:dyDescent="0.3">
      <c r="A15" s="2"/>
      <c r="B15" s="2" t="s">
        <v>10</v>
      </c>
      <c r="C15" s="2" t="s">
        <v>300</v>
      </c>
      <c r="D15" s="2" t="s">
        <v>37</v>
      </c>
      <c r="E15" s="2" t="s">
        <v>228</v>
      </c>
      <c r="F15" s="2"/>
      <c r="G15" s="2"/>
      <c r="I15" s="1" t="str">
        <f t="shared" si="0"/>
        <v>END_TIME</v>
      </c>
      <c r="J15" s="1" t="str">
        <f t="shared" si="1"/>
        <v>DATE</v>
      </c>
      <c r="K15" s="1" t="str">
        <f t="shared" si="2"/>
        <v/>
      </c>
      <c r="L15" s="1" t="str">
        <f t="shared" si="3"/>
        <v/>
      </c>
      <c r="M15" s="1" t="str">
        <f t="shared" si="4"/>
        <v/>
      </c>
      <c r="N15" s="1" t="str">
        <f t="shared" si="5"/>
        <v>NULL</v>
      </c>
      <c r="O15" s="1" t="s">
        <v>113</v>
      </c>
      <c r="Q15" s="1" t="e">
        <f>"EXEC SP_ADDEXTENDEDPROPERTY 'MS_Description', '"&amp;D15&amp;"', 'USER', dbo, 'TABLE', '"&amp;#REF!&amp;"', 'COLUMN', '"&amp;C15&amp;"'"</f>
        <v>#REF!</v>
      </c>
    </row>
    <row r="16" spans="1:17" s="1" customFormat="1" x14ac:dyDescent="0.3">
      <c r="A16" s="2"/>
      <c r="B16" s="2" t="s">
        <v>372</v>
      </c>
      <c r="C16" s="2" t="s">
        <v>65</v>
      </c>
      <c r="D16" s="2" t="s">
        <v>372</v>
      </c>
      <c r="E16" s="2" t="s">
        <v>545</v>
      </c>
      <c r="F16" s="2" t="s">
        <v>352</v>
      </c>
      <c r="G16" s="2"/>
      <c r="I16" s="1" t="str">
        <f t="shared" si="0"/>
        <v>SCREEN_FRONT</v>
      </c>
      <c r="J16" s="1" t="str">
        <f t="shared" si="1"/>
        <v>NUMBER</v>
      </c>
      <c r="K16" s="1" t="str">
        <f t="shared" si="2"/>
        <v>(</v>
      </c>
      <c r="L16" s="1" t="str">
        <f t="shared" si="3"/>
        <v>8, 1</v>
      </c>
      <c r="M16" s="1" t="str">
        <f t="shared" si="4"/>
        <v>)</v>
      </c>
      <c r="N16" s="1" t="str">
        <f t="shared" si="5"/>
        <v>NULL</v>
      </c>
      <c r="O16" s="1" t="s">
        <v>113</v>
      </c>
      <c r="Q16" s="1" t="e">
        <f>"EXEC SP_ADDEXTENDEDPROPERTY 'MS_Description', '"&amp;D16&amp;"', 'USER', dbo, 'TABLE', '"&amp;#REF!&amp;"', 'COLUMN', '"&amp;C16&amp;"'"</f>
        <v>#REF!</v>
      </c>
    </row>
    <row r="17" spans="1:17" s="1" customFormat="1" x14ac:dyDescent="0.3">
      <c r="A17" s="2"/>
      <c r="B17" s="2" t="s">
        <v>351</v>
      </c>
      <c r="C17" s="2" t="s">
        <v>399</v>
      </c>
      <c r="D17" s="2" t="s">
        <v>351</v>
      </c>
      <c r="E17" s="2" t="s">
        <v>545</v>
      </c>
      <c r="F17" s="2" t="s">
        <v>352</v>
      </c>
      <c r="G17" s="2"/>
      <c r="I17" s="1" t="str">
        <f t="shared" si="0"/>
        <v>SCREEN_BACK</v>
      </c>
      <c r="J17" s="1" t="str">
        <f t="shared" si="1"/>
        <v>NUMBER</v>
      </c>
      <c r="K17" s="1" t="str">
        <f t="shared" si="2"/>
        <v>(</v>
      </c>
      <c r="L17" s="1" t="str">
        <f t="shared" si="3"/>
        <v>8, 1</v>
      </c>
      <c r="M17" s="1" t="str">
        <f t="shared" si="4"/>
        <v>)</v>
      </c>
      <c r="N17" s="1" t="str">
        <f t="shared" ref="N17:N23" si="6">IF(G17="N","NOT NULL","NULL")</f>
        <v>NULL</v>
      </c>
      <c r="O17" s="1" t="s">
        <v>113</v>
      </c>
      <c r="Q17" s="1" t="e">
        <f>"EXEC SP_ADDEXTENDEDPROPERTY 'MS_Description', '"&amp;D17&amp;"', 'USER', dbo, 'TABLE', '"&amp;#REF!&amp;"', 'COLUMN', '"&amp;C17&amp;"'"</f>
        <v>#REF!</v>
      </c>
    </row>
    <row r="18" spans="1:17" s="1" customFormat="1" x14ac:dyDescent="0.3">
      <c r="A18" s="2"/>
      <c r="B18" s="2" t="s">
        <v>422</v>
      </c>
      <c r="C18" s="2" t="s">
        <v>422</v>
      </c>
      <c r="D18" s="2" t="s">
        <v>422</v>
      </c>
      <c r="E18" s="2" t="s">
        <v>545</v>
      </c>
      <c r="F18" s="2" t="s">
        <v>360</v>
      </c>
      <c r="G18" s="2"/>
      <c r="I18" s="1" t="str">
        <f t="shared" si="0"/>
        <v>INV</v>
      </c>
      <c r="J18" s="1" t="str">
        <f t="shared" si="1"/>
        <v>NUMBER</v>
      </c>
      <c r="K18" s="1" t="str">
        <f t="shared" si="2"/>
        <v>(</v>
      </c>
      <c r="L18" s="1" t="str">
        <f t="shared" si="3"/>
        <v>8, 0</v>
      </c>
      <c r="M18" s="1" t="str">
        <f t="shared" si="4"/>
        <v>)</v>
      </c>
      <c r="N18" s="1" t="str">
        <f t="shared" si="6"/>
        <v>NULL</v>
      </c>
      <c r="O18" s="1" t="s">
        <v>113</v>
      </c>
      <c r="Q18" s="1" t="e">
        <f>"EXEC SP_ADDEXTENDEDPROPERTY 'MS_Description', '"&amp;D18&amp;"', 'USER', dbo, 'TABLE', '"&amp;#REF!&amp;"', 'COLUMN', '"&amp;C18&amp;"'"</f>
        <v>#REF!</v>
      </c>
    </row>
    <row r="19" spans="1:17" s="1" customFormat="1" x14ac:dyDescent="0.3">
      <c r="A19" s="2"/>
      <c r="B19" s="2" t="s">
        <v>355</v>
      </c>
      <c r="C19" s="2" t="s">
        <v>485</v>
      </c>
      <c r="D19" s="2" t="s">
        <v>355</v>
      </c>
      <c r="E19" s="2" t="s">
        <v>618</v>
      </c>
      <c r="F19" s="2">
        <v>10</v>
      </c>
      <c r="G19" s="2"/>
      <c r="I19" s="1" t="str">
        <f t="shared" si="0"/>
        <v>IN_BIN_CODE</v>
      </c>
      <c r="J19" s="1" t="str">
        <f t="shared" si="1"/>
        <v>NVARCHAR2</v>
      </c>
      <c r="K19" s="1" t="str">
        <f t="shared" si="2"/>
        <v>(</v>
      </c>
      <c r="L19" s="1">
        <f t="shared" si="3"/>
        <v>10</v>
      </c>
      <c r="M19" s="1" t="str">
        <f t="shared" si="4"/>
        <v>)</v>
      </c>
      <c r="N19" s="1" t="str">
        <f t="shared" si="6"/>
        <v>NULL</v>
      </c>
      <c r="O19" s="1" t="s">
        <v>113</v>
      </c>
      <c r="Q19" s="1" t="e">
        <f>"EXEC SP_ADDEXTENDEDPROPERTY 'MS_Description', '"&amp;D19&amp;"', 'USER', dbo, 'TABLE', '"&amp;#REF!&amp;"', 'COLUMN', '"&amp;C19&amp;"'"</f>
        <v>#REF!</v>
      </c>
    </row>
    <row r="20" spans="1:17" s="1" customFormat="1" x14ac:dyDescent="0.3">
      <c r="A20" s="2"/>
      <c r="B20" s="2" t="s">
        <v>354</v>
      </c>
      <c r="C20" s="2" t="s">
        <v>407</v>
      </c>
      <c r="D20" s="2" t="s">
        <v>354</v>
      </c>
      <c r="E20" s="2" t="s">
        <v>618</v>
      </c>
      <c r="F20" s="2">
        <v>10</v>
      </c>
      <c r="G20" s="2"/>
      <c r="I20" s="1" t="str">
        <f t="shared" si="0"/>
        <v>OUT_BIN_CODE</v>
      </c>
      <c r="J20" s="1" t="str">
        <f t="shared" si="1"/>
        <v>NVARCHAR2</v>
      </c>
      <c r="K20" s="1" t="str">
        <f t="shared" si="2"/>
        <v>(</v>
      </c>
      <c r="L20" s="1">
        <f t="shared" si="3"/>
        <v>10</v>
      </c>
      <c r="M20" s="1" t="str">
        <f t="shared" si="4"/>
        <v>)</v>
      </c>
      <c r="N20" s="1" t="str">
        <f t="shared" si="6"/>
        <v>NULL</v>
      </c>
      <c r="O20" s="1" t="s">
        <v>113</v>
      </c>
      <c r="Q20" s="1" t="e">
        <f>"EXEC SP_ADDEXTENDEDPROPERTY 'MS_Description', '"&amp;D20&amp;"', 'USER', dbo, 'TABLE', '"&amp;#REF!&amp;"', 'COLUMN', '"&amp;C20&amp;"'"</f>
        <v>#REF!</v>
      </c>
    </row>
    <row r="21" spans="1:17" s="1" customFormat="1" x14ac:dyDescent="0.3">
      <c r="A21" s="2"/>
      <c r="B21" s="2" t="s">
        <v>4</v>
      </c>
      <c r="C21" s="2" t="s">
        <v>280</v>
      </c>
      <c r="D21" s="2" t="s">
        <v>4</v>
      </c>
      <c r="E21" s="2" t="s">
        <v>545</v>
      </c>
      <c r="F21" s="2" t="s">
        <v>360</v>
      </c>
      <c r="G21" s="2"/>
      <c r="I21" s="1" t="str">
        <f t="shared" si="0"/>
        <v>FEEDER_RATE</v>
      </c>
      <c r="J21" s="1" t="str">
        <f t="shared" si="1"/>
        <v>NUMBER</v>
      </c>
      <c r="K21" s="1" t="str">
        <f t="shared" si="2"/>
        <v>(</v>
      </c>
      <c r="L21" s="1" t="str">
        <f t="shared" si="3"/>
        <v>8, 0</v>
      </c>
      <c r="M21" s="1" t="str">
        <f t="shared" si="4"/>
        <v>)</v>
      </c>
      <c r="N21" s="1" t="str">
        <f t="shared" si="6"/>
        <v>NULL</v>
      </c>
      <c r="O21" s="1" t="s">
        <v>113</v>
      </c>
      <c r="Q21" s="1" t="e">
        <f>"EXEC SP_ADDEXTENDEDPROPERTY 'MS_Description', '"&amp;D21&amp;"', 'USER', dbo, 'TABLE', '"&amp;#REF!&amp;"', 'COLUMN', '"&amp;C21&amp;"'"</f>
        <v>#REF!</v>
      </c>
    </row>
    <row r="22" spans="1:17" s="1" customFormat="1" x14ac:dyDescent="0.3">
      <c r="A22" s="2"/>
      <c r="B22" s="2" t="s">
        <v>324</v>
      </c>
      <c r="C22" s="2" t="s">
        <v>281</v>
      </c>
      <c r="D22" s="2" t="s">
        <v>324</v>
      </c>
      <c r="E22" s="2" t="s">
        <v>545</v>
      </c>
      <c r="F22" s="2" t="s">
        <v>360</v>
      </c>
      <c r="G22" s="2"/>
      <c r="I22" s="1" t="str">
        <f t="shared" si="0"/>
        <v>OVERLOAD</v>
      </c>
      <c r="J22" s="1" t="str">
        <f t="shared" si="1"/>
        <v>NUMBER</v>
      </c>
      <c r="K22" s="1" t="str">
        <f t="shared" si="2"/>
        <v>(</v>
      </c>
      <c r="L22" s="1" t="str">
        <f t="shared" si="3"/>
        <v>8, 0</v>
      </c>
      <c r="M22" s="1" t="str">
        <f t="shared" si="4"/>
        <v>)</v>
      </c>
      <c r="N22" s="1" t="str">
        <f t="shared" si="6"/>
        <v>NULL</v>
      </c>
      <c r="O22" s="1" t="s">
        <v>113</v>
      </c>
      <c r="Q22" s="1" t="e">
        <f>"EXEC SP_ADDEXTENDEDPROPERTY 'MS_Description', '"&amp;D22&amp;"', 'USER', dbo, 'TABLE', '"&amp;#REF!&amp;"', 'COLUMN', '"&amp;C22&amp;"'"</f>
        <v>#REF!</v>
      </c>
    </row>
    <row r="23" spans="1:17" x14ac:dyDescent="0.3">
      <c r="A23" s="2"/>
      <c r="B23" s="2" t="s">
        <v>11</v>
      </c>
      <c r="C23" s="2" t="s">
        <v>325</v>
      </c>
      <c r="D23" s="2" t="s">
        <v>11</v>
      </c>
      <c r="E23" s="2" t="s">
        <v>545</v>
      </c>
      <c r="F23" s="2" t="s">
        <v>360</v>
      </c>
      <c r="G23" s="2"/>
      <c r="H23" s="1"/>
      <c r="I23" s="1" t="str">
        <f t="shared" si="0"/>
        <v>CRUSH_WAVE</v>
      </c>
      <c r="J23" s="1" t="str">
        <f t="shared" si="1"/>
        <v>NUMBER</v>
      </c>
      <c r="K23" s="1" t="str">
        <f t="shared" si="2"/>
        <v>(</v>
      </c>
      <c r="L23" s="1" t="str">
        <f t="shared" si="3"/>
        <v>8, 0</v>
      </c>
      <c r="M23" s="1" t="str">
        <f t="shared" si="4"/>
        <v>)</v>
      </c>
      <c r="N23" s="1" t="str">
        <f t="shared" si="6"/>
        <v>NULL</v>
      </c>
      <c r="O23" s="1" t="s">
        <v>113</v>
      </c>
      <c r="Q23" s="1" t="e">
        <f>"EXEC SP_ADDEXTENDEDPROPERTY 'MS_Description', '"&amp;D23&amp;"', 'USER', dbo, 'TABLE', '"&amp;#REF!&amp;"', 'COLUMN', '"&amp;C23&amp;"'"</f>
        <v>#REF!</v>
      </c>
    </row>
    <row r="24" spans="1:17" x14ac:dyDescent="0.3">
      <c r="A24" s="2"/>
      <c r="B24" s="2" t="s">
        <v>370</v>
      </c>
      <c r="C24" s="2" t="s">
        <v>282</v>
      </c>
      <c r="D24" s="2" t="s">
        <v>370</v>
      </c>
      <c r="E24" s="2" t="s">
        <v>545</v>
      </c>
      <c r="F24" s="2" t="s">
        <v>360</v>
      </c>
      <c r="G24" s="2"/>
      <c r="H24" s="1"/>
      <c r="I24" s="1" t="str">
        <f t="shared" si="0"/>
        <v>DUST_WAVE1</v>
      </c>
      <c r="J24" s="1" t="str">
        <f t="shared" si="1"/>
        <v>NUMBER</v>
      </c>
      <c r="K24" s="1" t="str">
        <f t="shared" si="2"/>
        <v>(</v>
      </c>
      <c r="L24" s="1" t="str">
        <f t="shared" si="3"/>
        <v>8, 0</v>
      </c>
      <c r="M24" s="1" t="str">
        <f t="shared" si="4"/>
        <v>)</v>
      </c>
      <c r="N24" s="1" t="str">
        <f t="shared" ref="N24:N31" si="7">IF(G24="N","NOT NULL","NULL")</f>
        <v>NULL</v>
      </c>
      <c r="O24" s="1" t="s">
        <v>113</v>
      </c>
      <c r="P24" s="1"/>
      <c r="Q24" s="1" t="e">
        <f>"EXEC SP_ADDEXTENDEDPROPERTY 'MS_Description', '"&amp;D24&amp;"', 'USER', dbo, 'TABLE', '"&amp;#REF!&amp;"', 'COLUMN', '"&amp;C24&amp;"'"</f>
        <v>#REF!</v>
      </c>
    </row>
    <row r="25" spans="1:17" x14ac:dyDescent="0.3">
      <c r="A25" s="2"/>
      <c r="B25" s="2" t="s">
        <v>367</v>
      </c>
      <c r="C25" s="2" t="s">
        <v>283</v>
      </c>
      <c r="D25" s="2" t="s">
        <v>367</v>
      </c>
      <c r="E25" s="2" t="s">
        <v>545</v>
      </c>
      <c r="F25" s="2" t="s">
        <v>360</v>
      </c>
      <c r="G25" s="2"/>
      <c r="H25" s="1"/>
      <c r="I25" s="1" t="str">
        <f t="shared" si="0"/>
        <v>DUST_WAVE2</v>
      </c>
      <c r="J25" s="1" t="str">
        <f t="shared" si="1"/>
        <v>NUMBER</v>
      </c>
      <c r="K25" s="1" t="str">
        <f t="shared" si="2"/>
        <v>(</v>
      </c>
      <c r="L25" s="1" t="str">
        <f t="shared" si="3"/>
        <v>8, 0</v>
      </c>
      <c r="M25" s="1" t="str">
        <f t="shared" si="4"/>
        <v>)</v>
      </c>
      <c r="N25" s="1" t="str">
        <f t="shared" si="7"/>
        <v>NULL</v>
      </c>
      <c r="O25" s="1" t="s">
        <v>113</v>
      </c>
      <c r="P25" s="1"/>
      <c r="Q25" s="1" t="e">
        <f>"EXEC SP_ADDEXTENDEDPROPERTY 'MS_Description', '"&amp;D25&amp;"', 'USER', dbo, 'TABLE', '"&amp;#REF!&amp;"', 'COLUMN', '"&amp;C25&amp;"'"</f>
        <v>#REF!</v>
      </c>
    </row>
    <row r="26" spans="1:17" x14ac:dyDescent="0.3">
      <c r="A26" s="2"/>
      <c r="B26" s="2" t="s">
        <v>6</v>
      </c>
      <c r="C26" s="2" t="s">
        <v>340</v>
      </c>
      <c r="D26" s="2" t="s">
        <v>6</v>
      </c>
      <c r="E26" s="2" t="s">
        <v>545</v>
      </c>
      <c r="F26" s="2" t="s">
        <v>360</v>
      </c>
      <c r="G26" s="2"/>
      <c r="H26" s="1"/>
      <c r="I26" s="1" t="str">
        <f t="shared" si="0"/>
        <v>CRUSH_QTY</v>
      </c>
      <c r="J26" s="1" t="str">
        <f t="shared" si="1"/>
        <v>NUMBER</v>
      </c>
      <c r="K26" s="1" t="str">
        <f t="shared" si="2"/>
        <v>(</v>
      </c>
      <c r="L26" s="1" t="str">
        <f t="shared" si="3"/>
        <v>8, 0</v>
      </c>
      <c r="M26" s="1" t="str">
        <f t="shared" si="4"/>
        <v>)</v>
      </c>
      <c r="N26" s="1" t="str">
        <f t="shared" si="7"/>
        <v>NULL</v>
      </c>
      <c r="O26" s="1" t="s">
        <v>113</v>
      </c>
      <c r="P26" s="1"/>
      <c r="Q26" s="1" t="e">
        <f>"EXEC SP_ADDEXTENDEDPROPERTY 'MS_Description', '"&amp;D26&amp;"', 'USER', dbo, 'TABLE', '"&amp;#REF!&amp;"', 'COLUMN', '"&amp;C26&amp;"'"</f>
        <v>#REF!</v>
      </c>
    </row>
    <row r="27" spans="1:17" x14ac:dyDescent="0.3">
      <c r="A27" s="2"/>
      <c r="B27" s="2" t="s">
        <v>346</v>
      </c>
      <c r="C27" s="2" t="s">
        <v>56</v>
      </c>
      <c r="D27" s="2" t="s">
        <v>346</v>
      </c>
      <c r="E27" s="2" t="s">
        <v>545</v>
      </c>
      <c r="F27" s="2" t="s">
        <v>360</v>
      </c>
      <c r="G27" s="2"/>
      <c r="H27" s="1"/>
      <c r="I27" s="1" t="str">
        <f t="shared" si="0"/>
        <v>PROD_QTY</v>
      </c>
      <c r="J27" s="1" t="str">
        <f t="shared" si="1"/>
        <v>NUMBER</v>
      </c>
      <c r="K27" s="1" t="str">
        <f t="shared" si="2"/>
        <v>(</v>
      </c>
      <c r="L27" s="1" t="str">
        <f t="shared" si="3"/>
        <v>8, 0</v>
      </c>
      <c r="M27" s="1" t="str">
        <f t="shared" si="4"/>
        <v>)</v>
      </c>
      <c r="N27" s="1" t="str">
        <f t="shared" si="7"/>
        <v>NULL</v>
      </c>
      <c r="O27" s="1" t="s">
        <v>113</v>
      </c>
      <c r="P27" s="1"/>
      <c r="Q27" s="1" t="e">
        <f>"EXEC SP_ADDEXTENDEDPROPERTY 'MS_Description', '"&amp;D27&amp;"', 'USER', dbo, 'TABLE', '"&amp;#REF!&amp;"', 'COLUMN', '"&amp;C27&amp;"'"</f>
        <v>#REF!</v>
      </c>
    </row>
    <row r="28" spans="1:17" x14ac:dyDescent="0.3">
      <c r="A28" s="2"/>
      <c r="B28" s="2" t="s">
        <v>111</v>
      </c>
      <c r="C28" s="2" t="s">
        <v>790</v>
      </c>
      <c r="D28" s="2" t="s">
        <v>188</v>
      </c>
      <c r="E28" s="2" t="s">
        <v>618</v>
      </c>
      <c r="F28" s="2">
        <v>20</v>
      </c>
      <c r="G28" s="2" t="s">
        <v>90</v>
      </c>
      <c r="H28" s="1"/>
      <c r="I28" s="1" t="str">
        <f>""&amp;C28&amp;""</f>
        <v>INITBY</v>
      </c>
      <c r="J28" s="1" t="str">
        <f>""&amp;E28&amp;""</f>
        <v>NVARCHAR2</v>
      </c>
      <c r="K28" s="1" t="str">
        <f t="shared" si="2"/>
        <v>(</v>
      </c>
      <c r="L28" s="1">
        <f t="shared" si="3"/>
        <v>20</v>
      </c>
      <c r="M28" s="1" t="str">
        <f t="shared" si="4"/>
        <v>)</v>
      </c>
      <c r="N28" s="1" t="str">
        <f t="shared" si="7"/>
        <v>NOT NULL</v>
      </c>
      <c r="O28" s="1" t="s">
        <v>113</v>
      </c>
      <c r="P28" s="1"/>
      <c r="Q28" s="1" t="e">
        <f>"EXEC SP_ADDEXTENDEDPROPERTY 'MS_Description', '"&amp;D28&amp;"', 'USER', dbo, 'TABLE', '"&amp;#REF!&amp;"', 'COLUMN', '"&amp;C28&amp;"'"</f>
        <v>#REF!</v>
      </c>
    </row>
    <row r="29" spans="1:17" x14ac:dyDescent="0.3">
      <c r="A29" s="2"/>
      <c r="B29" s="2" t="s">
        <v>254</v>
      </c>
      <c r="C29" s="2" t="s">
        <v>791</v>
      </c>
      <c r="D29" s="2" t="s">
        <v>254</v>
      </c>
      <c r="E29" s="2" t="s">
        <v>228</v>
      </c>
      <c r="F29" s="2"/>
      <c r="G29" s="2" t="s">
        <v>90</v>
      </c>
      <c r="H29" s="1"/>
      <c r="I29" s="1" t="str">
        <f>""&amp;C29&amp;""</f>
        <v>INITDTTM</v>
      </c>
      <c r="J29" s="1" t="str">
        <f>""&amp;E29&amp;""</f>
        <v>DATE</v>
      </c>
      <c r="K29" s="1" t="str">
        <f t="shared" si="2"/>
        <v/>
      </c>
      <c r="L29" s="1" t="str">
        <f t="shared" si="3"/>
        <v/>
      </c>
      <c r="M29" s="1" t="str">
        <f t="shared" si="4"/>
        <v/>
      </c>
      <c r="N29" s="1" t="str">
        <f t="shared" si="7"/>
        <v>NOT NULL</v>
      </c>
      <c r="O29" s="1" t="s">
        <v>113</v>
      </c>
      <c r="P29" s="1"/>
      <c r="Q29" s="1" t="e">
        <f>"EXEC SP_ADDEXTENDEDPROPERTY 'MS_Description', '"&amp;D29&amp;"', 'USER', dbo, 'TABLE', '"&amp;#REF!&amp;"', 'COLUMN', '"&amp;C29&amp;"'"</f>
        <v>#REF!</v>
      </c>
    </row>
    <row r="30" spans="1:17" x14ac:dyDescent="0.3">
      <c r="A30" s="2"/>
      <c r="B30" s="2" t="s">
        <v>99</v>
      </c>
      <c r="C30" s="2" t="s">
        <v>793</v>
      </c>
      <c r="D30" s="2" t="s">
        <v>197</v>
      </c>
      <c r="E30" s="2" t="s">
        <v>618</v>
      </c>
      <c r="F30" s="2">
        <v>20</v>
      </c>
      <c r="G30" s="2" t="s">
        <v>122</v>
      </c>
      <c r="H30" s="1"/>
      <c r="I30" s="1" t="str">
        <f>""&amp;C30&amp;""</f>
        <v>UPBY</v>
      </c>
      <c r="J30" s="1" t="str">
        <f>""&amp;E30&amp;""</f>
        <v>NVARCHAR2</v>
      </c>
      <c r="K30" s="1" t="str">
        <f t="shared" si="2"/>
        <v>(</v>
      </c>
      <c r="L30" s="1">
        <f t="shared" si="3"/>
        <v>20</v>
      </c>
      <c r="M30" s="1" t="str">
        <f t="shared" si="4"/>
        <v>)</v>
      </c>
      <c r="N30" s="1" t="str">
        <f t="shared" si="7"/>
        <v>NULL</v>
      </c>
      <c r="O30" s="1" t="s">
        <v>113</v>
      </c>
      <c r="P30" s="1"/>
      <c r="Q30" s="1" t="e">
        <f>"EXEC SP_ADDEXTENDEDPROPERTY 'MS_Description', '"&amp;D30&amp;"', 'USER', dbo, 'TABLE', '"&amp;#REF!&amp;"', 'COLUMN', '"&amp;C30&amp;"'"</f>
        <v>#REF!</v>
      </c>
    </row>
    <row r="31" spans="1:17" x14ac:dyDescent="0.3">
      <c r="A31" s="2"/>
      <c r="B31" s="2" t="s">
        <v>259</v>
      </c>
      <c r="C31" s="2" t="s">
        <v>792</v>
      </c>
      <c r="D31" s="2" t="s">
        <v>259</v>
      </c>
      <c r="E31" s="2" t="s">
        <v>228</v>
      </c>
      <c r="F31" s="2"/>
      <c r="G31" s="2" t="s">
        <v>122</v>
      </c>
      <c r="H31" s="1"/>
      <c r="I31" s="1" t="str">
        <f>""&amp;C31&amp;""</f>
        <v>UPDTTM</v>
      </c>
      <c r="J31" s="1" t="str">
        <f>""&amp;E31&amp;""</f>
        <v>DATE</v>
      </c>
      <c r="K31" s="1" t="str">
        <f t="shared" si="2"/>
        <v/>
      </c>
      <c r="L31" s="1" t="str">
        <f t="shared" si="3"/>
        <v/>
      </c>
      <c r="M31" s="1" t="str">
        <f t="shared" si="4"/>
        <v/>
      </c>
      <c r="N31" s="1" t="str">
        <f t="shared" si="7"/>
        <v>NULL</v>
      </c>
      <c r="O31" s="1" t="s">
        <v>113</v>
      </c>
      <c r="P31" s="1"/>
      <c r="Q31" s="1" t="e">
        <f>"EXEC SP_ADDEXTENDEDPROPERTY 'MS_Description', '"&amp;D31&amp;"', 'USER', dbo, 'TABLE', '"&amp;#REF!&amp;"', 'COLUMN', '"&amp;C31&amp;"'"</f>
        <v>#REF!</v>
      </c>
    </row>
    <row r="32" spans="1:17" x14ac:dyDescent="0.3">
      <c r="I32" t="str">
        <f>"CONSTRAINT PK__"&amp;C3&amp;" PRIMARY KEY CLUSTERED("</f>
        <v>CONSTRAINT PK__SMASH PRIMARY KEY CLUSTERED(</v>
      </c>
    </row>
    <row r="33" spans="9:14" x14ac:dyDescent="0.3">
      <c r="I33" s="1" t="str">
        <f>IF(A6="Y",C6,"")</f>
        <v>PLANT_CODE</v>
      </c>
      <c r="J33" s="1" t="str">
        <f>IF(A6="Y","ASC","")</f>
        <v>ASC</v>
      </c>
      <c r="K33" s="1" t="str">
        <f>IF(A6="Y",",","")</f>
        <v>,</v>
      </c>
      <c r="L33" s="3"/>
      <c r="M33" s="3"/>
      <c r="N33" s="3"/>
    </row>
    <row r="34" spans="9:14" x14ac:dyDescent="0.3">
      <c r="I34" s="1" t="str">
        <f>IF(A7="Y",C7,"")</f>
        <v>PROCESS_CODE</v>
      </c>
      <c r="J34" s="1" t="str">
        <f>IF(A7="Y","ASC","")</f>
        <v>ASC</v>
      </c>
      <c r="K34" s="1" t="str">
        <f>IF(A7="Y",",","")</f>
        <v>,</v>
      </c>
      <c r="L34" s="1"/>
      <c r="M34" s="1"/>
      <c r="N34" s="1"/>
    </row>
    <row r="35" spans="9:14" x14ac:dyDescent="0.3">
      <c r="I35" s="1" t="str">
        <f>IF(A9="Y",C9,"")</f>
        <v>WORK_NUM</v>
      </c>
      <c r="J35" s="1" t="str">
        <f>IF(A9="Y","ASC","")</f>
        <v>ASC</v>
      </c>
      <c r="K35" s="1" t="str">
        <f>IF(A9="Y",",","")</f>
        <v>,</v>
      </c>
      <c r="L35" s="1"/>
      <c r="M35" s="1"/>
      <c r="N35" s="1"/>
    </row>
    <row r="36" spans="9:14" x14ac:dyDescent="0.3">
      <c r="I36" s="1" t="str">
        <f>IF(A10="Y",C10,"")</f>
        <v/>
      </c>
      <c r="J36" s="1" t="str">
        <f>IF(A10="Y","ASC","")</f>
        <v/>
      </c>
      <c r="K36" s="1" t="str">
        <f>IF(A10="Y",",","")</f>
        <v/>
      </c>
      <c r="L36" s="1"/>
      <c r="M36" s="1"/>
      <c r="N36" s="1"/>
    </row>
    <row r="37" spans="9:14" x14ac:dyDescent="0.3">
      <c r="I37" s="1" t="str">
        <f>IF(A11="Y",C11,"")</f>
        <v/>
      </c>
      <c r="J37" s="1" t="str">
        <f>IF(A11="Y","ASC","")</f>
        <v/>
      </c>
      <c r="K37" s="1" t="str">
        <f>IF(A11="Y",",","")</f>
        <v/>
      </c>
      <c r="L37" s="1"/>
      <c r="M37" s="1"/>
      <c r="N37" s="1"/>
    </row>
    <row r="38" spans="9:14" x14ac:dyDescent="0.3">
      <c r="I38" s="1" t="str">
        <f>IF(A12="Y",C12,"")</f>
        <v/>
      </c>
      <c r="J38" s="1" t="str">
        <f>IF(A12="Y","ASC","")</f>
        <v/>
      </c>
      <c r="K38" s="1" t="str">
        <f>IF(A12="Y",",","")</f>
        <v/>
      </c>
      <c r="L38" s="1"/>
      <c r="M38" s="1"/>
      <c r="N38" s="1"/>
    </row>
    <row r="39" spans="9:14" x14ac:dyDescent="0.3">
      <c r="I39" s="1" t="str">
        <f>IF(A13="Y",C13,"")</f>
        <v/>
      </c>
      <c r="J39" s="1" t="str">
        <f>IF(A13="Y","ASC","")</f>
        <v/>
      </c>
      <c r="K39" s="1" t="str">
        <f>IF(A13="Y",",","")</f>
        <v/>
      </c>
      <c r="L39" s="1"/>
      <c r="M39" s="1"/>
      <c r="N39" s="1"/>
    </row>
    <row r="40" spans="9:14" x14ac:dyDescent="0.3">
      <c r="I40" t="s">
        <v>66</v>
      </c>
    </row>
    <row r="41" spans="9:14" x14ac:dyDescent="0.3">
      <c r="I41" t="s">
        <v>193</v>
      </c>
    </row>
  </sheetData>
  <phoneticPr fontId="7" type="noConversion"/>
  <hyperlinks>
    <hyperlink ref="A1" location="리스트!A1" display="리스트로 이동" xr:uid="{597050A8-4846-4703-AD05-8799A4898B3E}"/>
  </hyperlinks>
  <pageMargins left="0.74805557727813721" right="0.74805557727813721" top="0.98430556058883667" bottom="0.98430556058883667" header="0.51166665554046631" footer="0.51166665554046631"/>
  <pageSetup paperSize="9" fitToWidth="0" fitToHeight="0" orientation="portrait" horizontalDpi="0" verticalDpi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19"/>
  <dimension ref="A1:Q51"/>
  <sheetViews>
    <sheetView zoomScaleNormal="100" zoomScaleSheetLayoutView="100" workbookViewId="0">
      <selection activeCell="I3" sqref="I3:P3"/>
    </sheetView>
  </sheetViews>
  <sheetFormatPr defaultColWidth="9" defaultRowHeight="16.5" x14ac:dyDescent="0.3"/>
  <cols>
    <col min="1" max="1" width="8.625" bestFit="1" customWidth="1"/>
    <col min="2" max="2" width="13.75" bestFit="1" customWidth="1"/>
    <col min="3" max="3" width="14.125" bestFit="1" customWidth="1"/>
    <col min="4" max="4" width="23.125" customWidth="1"/>
    <col min="5" max="5" width="12.75" bestFit="1" customWidth="1"/>
    <col min="6" max="6" width="6.75" bestFit="1" customWidth="1"/>
    <col min="7" max="7" width="9" bestFit="1" customWidth="1"/>
    <col min="9" max="10" width="16.875" customWidth="1"/>
    <col min="11" max="11" width="1.625" bestFit="1" customWidth="1"/>
    <col min="12" max="12" width="3" bestFit="1" customWidth="1"/>
    <col min="13" max="13" width="1.625" bestFit="1" customWidth="1"/>
    <col min="14" max="15" width="10.125" bestFit="1" customWidth="1"/>
    <col min="16" max="16" width="16.875" customWidth="1"/>
  </cols>
  <sheetData>
    <row r="1" spans="1:17" x14ac:dyDescent="0.3">
      <c r="A1" s="16" t="s">
        <v>615</v>
      </c>
    </row>
    <row r="2" spans="1:17" x14ac:dyDescent="0.3">
      <c r="A2" s="2"/>
      <c r="B2" s="2" t="s">
        <v>116</v>
      </c>
      <c r="C2" s="2" t="s">
        <v>119</v>
      </c>
      <c r="D2" s="2" t="s">
        <v>112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3">
      <c r="A3" s="2"/>
      <c r="B3" s="2" t="s">
        <v>387</v>
      </c>
      <c r="C3" s="2" t="s">
        <v>314</v>
      </c>
      <c r="D3" s="2"/>
      <c r="E3" s="1"/>
      <c r="F3" s="1"/>
      <c r="G3" s="1"/>
      <c r="H3" s="1"/>
      <c r="I3" s="13" t="str">
        <f>"DROP TABLE "&amp;B3&amp;" CASCADE CONSTRAINTS PURGE"</f>
        <v>DROP TABLE 펠렛 CASCADE CONSTRAINTS PURGE</v>
      </c>
      <c r="J3" s="1"/>
      <c r="K3" s="1"/>
      <c r="L3" s="1"/>
      <c r="M3" s="1"/>
      <c r="N3" s="1"/>
      <c r="O3" s="21"/>
      <c r="P3" s="21" t="s">
        <v>771</v>
      </c>
      <c r="Q3" s="1"/>
    </row>
    <row r="4" spans="1:17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">
      <c r="A5" s="2" t="s">
        <v>88</v>
      </c>
      <c r="B5" s="2" t="s">
        <v>215</v>
      </c>
      <c r="C5" s="2" t="s">
        <v>252</v>
      </c>
      <c r="D5" s="2" t="s">
        <v>169</v>
      </c>
      <c r="E5" s="2" t="s">
        <v>265</v>
      </c>
      <c r="F5" s="2" t="s">
        <v>101</v>
      </c>
      <c r="G5" s="2" t="s">
        <v>205</v>
      </c>
      <c r="H5" s="1"/>
      <c r="I5" s="1" t="str">
        <f>"CREATE TABLE "&amp;C3&amp;" ("</f>
        <v>CREATE TABLE PELLET (</v>
      </c>
      <c r="J5" s="1"/>
      <c r="K5" s="1"/>
      <c r="L5" s="1"/>
      <c r="M5" s="1"/>
      <c r="N5" s="1"/>
      <c r="O5" s="1"/>
      <c r="P5" s="1"/>
      <c r="Q5" s="1"/>
    </row>
    <row r="6" spans="1:17" s="1" customFormat="1" x14ac:dyDescent="0.3">
      <c r="A6" s="2" t="s">
        <v>122</v>
      </c>
      <c r="B6" s="2" t="s">
        <v>35</v>
      </c>
      <c r="C6" s="2" t="s">
        <v>528</v>
      </c>
      <c r="D6" s="2" t="s">
        <v>71</v>
      </c>
      <c r="E6" s="2" t="s">
        <v>618</v>
      </c>
      <c r="F6" s="2">
        <v>20</v>
      </c>
      <c r="G6" s="2" t="s">
        <v>90</v>
      </c>
      <c r="I6" s="1" t="str">
        <f t="shared" ref="I6:I37" si="0">""&amp;C6&amp;""</f>
        <v>PLANT_CODE</v>
      </c>
      <c r="J6" s="1" t="str">
        <f t="shared" ref="J6:J37" si="1">""&amp;E6&amp;""</f>
        <v>NVARCHAR2</v>
      </c>
      <c r="K6" s="1" t="str">
        <f t="shared" ref="K6:K41" si="2">IF(F6="","","(")</f>
        <v>(</v>
      </c>
      <c r="L6" s="1">
        <f t="shared" ref="L6:L41" si="3">IF(F6="","",F6)</f>
        <v>20</v>
      </c>
      <c r="M6" s="1" t="str">
        <f t="shared" ref="M6:M41" si="4">IF(F6="","",")")</f>
        <v>)</v>
      </c>
      <c r="N6" s="1" t="str">
        <f>IF(G6="N","NOT NULL","NULL")</f>
        <v>NOT NULL</v>
      </c>
      <c r="O6" s="1" t="s">
        <v>113</v>
      </c>
      <c r="Q6" s="1" t="e">
        <f>"EXEC SP_ADDEXTENDEDPROPERTY 'MS_Description', '"&amp;D6&amp;"', 'USER', dbo, 'TABLE', '"&amp;#REF!&amp;"', 'COLUMN', '"&amp;C6&amp;"'"</f>
        <v>#REF!</v>
      </c>
    </row>
    <row r="7" spans="1:17" s="1" customFormat="1" x14ac:dyDescent="0.3">
      <c r="A7" s="2" t="s">
        <v>122</v>
      </c>
      <c r="B7" s="2" t="s">
        <v>245</v>
      </c>
      <c r="C7" s="2" t="s">
        <v>291</v>
      </c>
      <c r="D7" s="2" t="s">
        <v>294</v>
      </c>
      <c r="E7" s="2" t="s">
        <v>618</v>
      </c>
      <c r="F7" s="2">
        <v>20</v>
      </c>
      <c r="G7" s="2" t="s">
        <v>90</v>
      </c>
      <c r="I7" s="1" t="str">
        <f t="shared" si="0"/>
        <v>PROCESS_CODE</v>
      </c>
      <c r="J7" s="1" t="str">
        <f t="shared" si="1"/>
        <v>NVARCHAR2</v>
      </c>
      <c r="K7" s="1" t="str">
        <f t="shared" si="2"/>
        <v>(</v>
      </c>
      <c r="L7" s="1">
        <f t="shared" si="3"/>
        <v>20</v>
      </c>
      <c r="M7" s="1" t="str">
        <f t="shared" si="4"/>
        <v>)</v>
      </c>
      <c r="N7" s="1" t="str">
        <f>IF(G7="N","NOT NULL","NULL")</f>
        <v>NOT NULL</v>
      </c>
      <c r="O7" s="1" t="s">
        <v>113</v>
      </c>
      <c r="Q7" s="1" t="e">
        <f>"EXEC SP_ADDEXTENDEDPROPERTY 'MS_Description', '"&amp;D7&amp;"', 'USER', dbo, 'TABLE', '"&amp;#REF!&amp;"', 'COLUMN', '"&amp;C7&amp;"'"</f>
        <v>#REF!</v>
      </c>
    </row>
    <row r="8" spans="1:17" s="1" customFormat="1" x14ac:dyDescent="0.3">
      <c r="A8" s="2" t="s">
        <v>122</v>
      </c>
      <c r="B8" s="2" t="s">
        <v>317</v>
      </c>
      <c r="C8" s="2" t="s">
        <v>312</v>
      </c>
      <c r="D8" s="2" t="s">
        <v>426</v>
      </c>
      <c r="E8" s="2" t="s">
        <v>618</v>
      </c>
      <c r="F8" s="2">
        <v>10</v>
      </c>
      <c r="G8" s="2" t="s">
        <v>90</v>
      </c>
      <c r="I8" s="1" t="str">
        <f t="shared" si="0"/>
        <v>WORK_DATE</v>
      </c>
      <c r="J8" s="1" t="str">
        <f t="shared" si="1"/>
        <v>NVARCHAR2</v>
      </c>
      <c r="K8" s="1" t="str">
        <f t="shared" si="2"/>
        <v>(</v>
      </c>
      <c r="L8" s="1">
        <f t="shared" si="3"/>
        <v>10</v>
      </c>
      <c r="M8" s="1" t="str">
        <f t="shared" si="4"/>
        <v>)</v>
      </c>
      <c r="N8" s="1" t="str">
        <f>IF(G8="N","NOT NULL","NULL")</f>
        <v>NOT NULL</v>
      </c>
      <c r="O8" s="1" t="s">
        <v>113</v>
      </c>
      <c r="Q8" s="1" t="e">
        <f>"EXEC SP_ADDEXTENDEDPROPERTY 'MS_Description', '"&amp;D8&amp;"', 'USER', dbo, 'TABLE', '"&amp;#REF!&amp;"', 'COLUMN', '"&amp;C8&amp;"'"</f>
        <v>#REF!</v>
      </c>
    </row>
    <row r="9" spans="1:17" s="1" customFormat="1" x14ac:dyDescent="0.3">
      <c r="A9" s="2" t="s">
        <v>122</v>
      </c>
      <c r="B9" s="2" t="s">
        <v>316</v>
      </c>
      <c r="C9" s="2" t="s">
        <v>313</v>
      </c>
      <c r="D9" s="2" t="s">
        <v>316</v>
      </c>
      <c r="E9" s="2" t="s">
        <v>545</v>
      </c>
      <c r="F9" s="2"/>
      <c r="G9" s="2" t="s">
        <v>90</v>
      </c>
      <c r="I9" s="1" t="str">
        <f t="shared" si="0"/>
        <v>WORK_NUM</v>
      </c>
      <c r="J9" s="1" t="str">
        <f t="shared" si="1"/>
        <v>NUMBER</v>
      </c>
      <c r="K9" s="1" t="str">
        <f t="shared" si="2"/>
        <v/>
      </c>
      <c r="L9" s="1" t="str">
        <f t="shared" si="3"/>
        <v/>
      </c>
      <c r="M9" s="1" t="str">
        <f t="shared" si="4"/>
        <v/>
      </c>
      <c r="N9" s="1" t="str">
        <f>IF(G9="N","NOT NULL","NULL")</f>
        <v>NOT NULL</v>
      </c>
      <c r="O9" s="1" t="s">
        <v>113</v>
      </c>
      <c r="Q9" s="1" t="e">
        <f>"EXEC SP_ADDEXTENDEDPROPERTY 'MS_Description', '"&amp;D9&amp;"', 'USER', dbo, 'TABLE', '"&amp;#REF!&amp;"', 'COLUMN', '"&amp;C9&amp;"'"</f>
        <v>#REF!</v>
      </c>
    </row>
    <row r="10" spans="1:17" s="1" customFormat="1" x14ac:dyDescent="0.3">
      <c r="A10" s="2" t="s">
        <v>122</v>
      </c>
      <c r="B10" s="2" t="s">
        <v>326</v>
      </c>
      <c r="C10" s="2" t="s">
        <v>484</v>
      </c>
      <c r="D10" s="2" t="s">
        <v>15</v>
      </c>
      <c r="E10" s="2" t="s">
        <v>618</v>
      </c>
      <c r="F10" s="2">
        <v>10</v>
      </c>
      <c r="G10" s="2" t="s">
        <v>90</v>
      </c>
      <c r="I10" s="1" t="str">
        <f t="shared" si="0"/>
        <v>PELLET_NO</v>
      </c>
      <c r="J10" s="1" t="str">
        <f t="shared" si="1"/>
        <v>NVARCHAR2</v>
      </c>
      <c r="K10" s="1" t="str">
        <f t="shared" si="2"/>
        <v>(</v>
      </c>
      <c r="L10" s="1">
        <f t="shared" si="3"/>
        <v>10</v>
      </c>
      <c r="M10" s="1" t="str">
        <f t="shared" si="4"/>
        <v>)</v>
      </c>
      <c r="N10" s="1" t="str">
        <f>IF(G10="N","NOT NULL","NULL")</f>
        <v>NOT NULL</v>
      </c>
      <c r="O10" s="1" t="s">
        <v>113</v>
      </c>
      <c r="Q10" s="1" t="e">
        <f>"EXEC SP_ADDEXTENDEDPROPERTY 'MS_Description', '"&amp;D10&amp;"', 'USER', dbo, 'TABLE', '"&amp;#REF!&amp;"', 'COLUMN', '"&amp;C10&amp;"'"</f>
        <v>#REF!</v>
      </c>
    </row>
    <row r="11" spans="1:17" s="1" customFormat="1" x14ac:dyDescent="0.3">
      <c r="A11" s="2"/>
      <c r="B11" s="2" t="s">
        <v>328</v>
      </c>
      <c r="C11" s="2" t="s">
        <v>149</v>
      </c>
      <c r="D11" s="2" t="s">
        <v>482</v>
      </c>
      <c r="E11" s="2" t="s">
        <v>618</v>
      </c>
      <c r="F11" s="2">
        <v>20</v>
      </c>
      <c r="G11" s="2" t="s">
        <v>90</v>
      </c>
      <c r="I11" s="1" t="str">
        <f t="shared" si="0"/>
        <v>MATERIAL_ID</v>
      </c>
      <c r="J11" s="1" t="str">
        <f t="shared" si="1"/>
        <v>NVARCHAR2</v>
      </c>
      <c r="K11" s="1" t="str">
        <f t="shared" si="2"/>
        <v>(</v>
      </c>
      <c r="L11" s="1">
        <f t="shared" si="3"/>
        <v>20</v>
      </c>
      <c r="M11" s="1" t="str">
        <f t="shared" si="4"/>
        <v>)</v>
      </c>
      <c r="N11" s="1" t="str">
        <f t="shared" ref="N11:N36" si="5">IF(G11="N","NOT NULL","NULL")</f>
        <v>NOT NULL</v>
      </c>
      <c r="O11" s="1" t="s">
        <v>113</v>
      </c>
      <c r="Q11" s="1" t="e">
        <f>"EXEC SP_ADDEXTENDEDPROPERTY 'MS_Description', '"&amp;D11&amp;"', 'USER', dbo, 'TABLE', '"&amp;#REF!&amp;"', 'COLUMN', '"&amp;C11&amp;"'"</f>
        <v>#REF!</v>
      </c>
    </row>
    <row r="12" spans="1:17" s="1" customFormat="1" x14ac:dyDescent="0.3">
      <c r="A12" s="2"/>
      <c r="B12" s="1" t="s">
        <v>47</v>
      </c>
      <c r="C12" s="2" t="s">
        <v>144</v>
      </c>
      <c r="D12" s="2" t="s">
        <v>516</v>
      </c>
      <c r="E12" s="2" t="s">
        <v>618</v>
      </c>
      <c r="F12" s="2">
        <v>20</v>
      </c>
      <c r="G12" s="2"/>
      <c r="I12" s="1" t="str">
        <f t="shared" si="0"/>
        <v>RECIPE_VER</v>
      </c>
      <c r="J12" s="1" t="str">
        <f t="shared" si="1"/>
        <v>NVARCHAR2</v>
      </c>
      <c r="K12" s="1" t="str">
        <f t="shared" si="2"/>
        <v>(</v>
      </c>
      <c r="L12" s="1">
        <f t="shared" si="3"/>
        <v>20</v>
      </c>
      <c r="M12" s="1" t="str">
        <f t="shared" si="4"/>
        <v>)</v>
      </c>
      <c r="N12" s="1" t="str">
        <f t="shared" si="5"/>
        <v>NULL</v>
      </c>
      <c r="O12" s="1" t="s">
        <v>113</v>
      </c>
      <c r="Q12" s="1" t="e">
        <f>"EXEC SP_ADDEXTENDEDPROPERTY 'MS_Description', '"&amp;D12&amp;"', 'USER', dbo, 'TABLE', '"&amp;#REF!&amp;"', 'COLUMN', '"&amp;C12&amp;"'"</f>
        <v>#REF!</v>
      </c>
    </row>
    <row r="13" spans="1:17" s="1" customFormat="1" x14ac:dyDescent="0.3">
      <c r="A13" s="2"/>
      <c r="B13" s="2" t="s">
        <v>329</v>
      </c>
      <c r="C13" s="2" t="s">
        <v>304</v>
      </c>
      <c r="D13" s="2" t="s">
        <v>329</v>
      </c>
      <c r="E13" s="2" t="s">
        <v>228</v>
      </c>
      <c r="F13" s="2"/>
      <c r="G13" s="2"/>
      <c r="I13" s="1" t="str">
        <f t="shared" si="0"/>
        <v>START_TIME</v>
      </c>
      <c r="J13" s="1" t="str">
        <f t="shared" si="1"/>
        <v>DATE</v>
      </c>
      <c r="K13" s="1" t="str">
        <f t="shared" si="2"/>
        <v/>
      </c>
      <c r="L13" s="1" t="str">
        <f t="shared" si="3"/>
        <v/>
      </c>
      <c r="M13" s="1" t="str">
        <f t="shared" si="4"/>
        <v/>
      </c>
      <c r="N13" s="1" t="str">
        <f t="shared" si="5"/>
        <v>NULL</v>
      </c>
      <c r="O13" s="1" t="s">
        <v>113</v>
      </c>
      <c r="Q13" s="1" t="e">
        <f>"EXEC SP_ADDEXTENDEDPROPERTY 'MS_Description', '"&amp;D13&amp;"', 'USER', dbo, 'TABLE', '"&amp;#REF!&amp;"', 'COLUMN', '"&amp;C13&amp;"'"</f>
        <v>#REF!</v>
      </c>
    </row>
    <row r="14" spans="1:17" s="1" customFormat="1" x14ac:dyDescent="0.3">
      <c r="A14" s="2"/>
      <c r="B14" s="2" t="s">
        <v>371</v>
      </c>
      <c r="C14" s="2" t="s">
        <v>300</v>
      </c>
      <c r="D14" s="2" t="s">
        <v>371</v>
      </c>
      <c r="E14" s="2" t="s">
        <v>228</v>
      </c>
      <c r="F14" s="2"/>
      <c r="G14" s="2"/>
      <c r="I14" s="1" t="str">
        <f t="shared" si="0"/>
        <v>END_TIME</v>
      </c>
      <c r="J14" s="1" t="str">
        <f t="shared" si="1"/>
        <v>DATE</v>
      </c>
      <c r="K14" s="1" t="str">
        <f t="shared" si="2"/>
        <v/>
      </c>
      <c r="L14" s="1" t="str">
        <f t="shared" si="3"/>
        <v/>
      </c>
      <c r="M14" s="1" t="str">
        <f t="shared" si="4"/>
        <v/>
      </c>
      <c r="N14" s="1" t="str">
        <f t="shared" si="5"/>
        <v>NULL</v>
      </c>
      <c r="O14" s="1" t="s">
        <v>113</v>
      </c>
      <c r="Q14" s="1" t="e">
        <f>"EXEC SP_ADDEXTENDEDPROPERTY 'MS_Description', '"&amp;D14&amp;"', 'USER', dbo, 'TABLE', '"&amp;#REF!&amp;"', 'COLUMN', '"&amp;C14&amp;"'"</f>
        <v>#REF!</v>
      </c>
    </row>
    <row r="15" spans="1:17" s="1" customFormat="1" x14ac:dyDescent="0.3">
      <c r="A15" s="2"/>
      <c r="B15" s="2" t="s">
        <v>23</v>
      </c>
      <c r="C15" s="2" t="s">
        <v>56</v>
      </c>
      <c r="D15" s="2" t="s">
        <v>23</v>
      </c>
      <c r="E15" s="2" t="s">
        <v>545</v>
      </c>
      <c r="F15" s="2" t="s">
        <v>389</v>
      </c>
      <c r="G15" s="2"/>
      <c r="I15" s="1" t="str">
        <f t="shared" si="0"/>
        <v>PROD_QTY</v>
      </c>
      <c r="J15" s="1" t="str">
        <f t="shared" si="1"/>
        <v>NUMBER</v>
      </c>
      <c r="K15" s="1" t="str">
        <f t="shared" si="2"/>
        <v>(</v>
      </c>
      <c r="L15" s="1" t="str">
        <f t="shared" si="3"/>
        <v>8,0</v>
      </c>
      <c r="M15" s="1" t="str">
        <f t="shared" si="4"/>
        <v>)</v>
      </c>
      <c r="N15" s="1" t="str">
        <f t="shared" si="5"/>
        <v>NULL</v>
      </c>
      <c r="O15" s="1" t="s">
        <v>113</v>
      </c>
      <c r="Q15" s="1" t="e">
        <f>"EXEC SP_ADDEXTENDEDPROPERTY 'MS_Description', '"&amp;D15&amp;"', 'USER', dbo, 'TABLE', '"&amp;#REF!&amp;"', 'COLUMN', '"&amp;C15&amp;"'"</f>
        <v>#REF!</v>
      </c>
    </row>
    <row r="16" spans="1:17" s="1" customFormat="1" x14ac:dyDescent="0.3">
      <c r="A16" s="2"/>
      <c r="B16" s="2" t="s">
        <v>477</v>
      </c>
      <c r="C16" s="2" t="s">
        <v>463</v>
      </c>
      <c r="D16" s="2" t="s">
        <v>477</v>
      </c>
      <c r="E16" s="2" t="s">
        <v>545</v>
      </c>
      <c r="F16" s="2" t="s">
        <v>389</v>
      </c>
      <c r="G16" s="2"/>
      <c r="I16" s="1" t="str">
        <f t="shared" si="0"/>
        <v>REMAIN_QTY</v>
      </c>
      <c r="J16" s="1" t="str">
        <f t="shared" si="1"/>
        <v>NUMBER</v>
      </c>
      <c r="K16" s="1" t="str">
        <f t="shared" si="2"/>
        <v>(</v>
      </c>
      <c r="L16" s="1" t="str">
        <f t="shared" si="3"/>
        <v>8,0</v>
      </c>
      <c r="M16" s="1" t="str">
        <f t="shared" si="4"/>
        <v>)</v>
      </c>
      <c r="N16" s="1" t="str">
        <f t="shared" si="5"/>
        <v>NULL</v>
      </c>
      <c r="O16" s="1" t="s">
        <v>113</v>
      </c>
      <c r="Q16" s="1" t="e">
        <f>"EXEC SP_ADDEXTENDEDPROPERTY 'MS_Description', '"&amp;D16&amp;"', 'USER', dbo, 'TABLE', '"&amp;#REF!&amp;"', 'COLUMN', '"&amp;C16&amp;"'"</f>
        <v>#REF!</v>
      </c>
    </row>
    <row r="17" spans="1:17" s="1" customFormat="1" x14ac:dyDescent="0.3">
      <c r="A17" s="2"/>
      <c r="B17" s="2" t="s">
        <v>346</v>
      </c>
      <c r="C17" s="2" t="s">
        <v>515</v>
      </c>
      <c r="D17" s="2" t="s">
        <v>346</v>
      </c>
      <c r="E17" s="2" t="s">
        <v>545</v>
      </c>
      <c r="F17" s="2" t="s">
        <v>388</v>
      </c>
      <c r="G17" s="2"/>
      <c r="I17" s="1" t="str">
        <f t="shared" si="0"/>
        <v>PROTY_QTY</v>
      </c>
      <c r="J17" s="1" t="str">
        <f t="shared" si="1"/>
        <v>NUMBER</v>
      </c>
      <c r="K17" s="1" t="str">
        <f t="shared" si="2"/>
        <v>(</v>
      </c>
      <c r="L17" s="1" t="str">
        <f t="shared" si="3"/>
        <v>8,1</v>
      </c>
      <c r="M17" s="1" t="str">
        <f t="shared" si="4"/>
        <v>)</v>
      </c>
      <c r="N17" s="1" t="str">
        <f t="shared" si="5"/>
        <v>NULL</v>
      </c>
      <c r="O17" s="1" t="s">
        <v>113</v>
      </c>
      <c r="Q17" s="1" t="e">
        <f>"EXEC SP_ADDEXTENDEDPROPERTY 'MS_Description', '"&amp;D17&amp;"', 'USER', dbo, 'TABLE', '"&amp;#REF!&amp;"', 'COLUMN', '"&amp;C17&amp;"'"</f>
        <v>#REF!</v>
      </c>
    </row>
    <row r="18" spans="1:17" s="1" customFormat="1" x14ac:dyDescent="0.3">
      <c r="A18" s="2"/>
      <c r="B18" s="2" t="s">
        <v>454</v>
      </c>
      <c r="C18" s="2" t="s">
        <v>464</v>
      </c>
      <c r="D18" s="2" t="s">
        <v>454</v>
      </c>
      <c r="E18" s="2" t="s">
        <v>545</v>
      </c>
      <c r="F18" s="2" t="s">
        <v>388</v>
      </c>
      <c r="G18" s="2"/>
      <c r="I18" s="1" t="str">
        <f t="shared" si="0"/>
        <v>TOTAL_OPER</v>
      </c>
      <c r="J18" s="1" t="str">
        <f t="shared" si="1"/>
        <v>NUMBER</v>
      </c>
      <c r="K18" s="1" t="str">
        <f t="shared" si="2"/>
        <v>(</v>
      </c>
      <c r="L18" s="1" t="str">
        <f t="shared" si="3"/>
        <v>8,1</v>
      </c>
      <c r="M18" s="1" t="str">
        <f t="shared" si="4"/>
        <v>)</v>
      </c>
      <c r="N18" s="1" t="str">
        <f>IF(G18="N","NOT NULL","NULL")</f>
        <v>NULL</v>
      </c>
      <c r="O18" s="1" t="s">
        <v>113</v>
      </c>
      <c r="Q18" s="1" t="e">
        <f>"EXEC SP_ADDEXTENDEDPROPERTY 'MS_Description', '"&amp;D18&amp;"', 'USER', dbo, 'TABLE', '"&amp;#REF!&amp;"', 'COLUMN', '"&amp;C18&amp;"'"</f>
        <v>#REF!</v>
      </c>
    </row>
    <row r="19" spans="1:17" s="1" customFormat="1" x14ac:dyDescent="0.3">
      <c r="A19" s="2"/>
      <c r="B19" s="2" t="s">
        <v>472</v>
      </c>
      <c r="C19" s="2" t="s">
        <v>496</v>
      </c>
      <c r="D19" s="2" t="s">
        <v>472</v>
      </c>
      <c r="E19" s="2" t="s">
        <v>545</v>
      </c>
      <c r="F19" s="2" t="s">
        <v>388</v>
      </c>
      <c r="G19" s="2"/>
      <c r="I19" s="1" t="str">
        <f t="shared" si="0"/>
        <v>DY_ST</v>
      </c>
      <c r="J19" s="1" t="str">
        <f t="shared" si="1"/>
        <v>NUMBER</v>
      </c>
      <c r="K19" s="1" t="str">
        <f t="shared" si="2"/>
        <v>(</v>
      </c>
      <c r="L19" s="1" t="str">
        <f t="shared" si="3"/>
        <v>8,1</v>
      </c>
      <c r="M19" s="1" t="str">
        <f t="shared" si="4"/>
        <v>)</v>
      </c>
      <c r="N19" s="1" t="str">
        <f t="shared" si="5"/>
        <v>NULL</v>
      </c>
      <c r="O19" s="1" t="s">
        <v>113</v>
      </c>
      <c r="Q19" s="1" t="e">
        <f>"EXEC SP_ADDEXTENDEDPROPERTY 'MS_Description', '"&amp;D19&amp;"', 'USER', dbo, 'TABLE', '"&amp;#REF!&amp;"', 'COLUMN', '"&amp;C19&amp;"'"</f>
        <v>#REF!</v>
      </c>
    </row>
    <row r="20" spans="1:17" s="1" customFormat="1" x14ac:dyDescent="0.3">
      <c r="A20" s="2"/>
      <c r="B20" s="2" t="s">
        <v>478</v>
      </c>
      <c r="C20" s="2" t="s">
        <v>425</v>
      </c>
      <c r="D20" s="2" t="s">
        <v>478</v>
      </c>
      <c r="E20" s="2" t="s">
        <v>545</v>
      </c>
      <c r="F20" s="2" t="s">
        <v>389</v>
      </c>
      <c r="G20" s="2"/>
      <c r="I20" s="1" t="str">
        <f t="shared" si="0"/>
        <v>DY_THICK</v>
      </c>
      <c r="J20" s="1" t="str">
        <f t="shared" si="1"/>
        <v>NUMBER</v>
      </c>
      <c r="K20" s="1" t="str">
        <f t="shared" si="2"/>
        <v>(</v>
      </c>
      <c r="L20" s="1" t="str">
        <f t="shared" si="3"/>
        <v>8,0</v>
      </c>
      <c r="M20" s="1" t="str">
        <f t="shared" si="4"/>
        <v>)</v>
      </c>
      <c r="N20" s="1" t="str">
        <f t="shared" si="5"/>
        <v>NULL</v>
      </c>
      <c r="O20" s="1" t="s">
        <v>113</v>
      </c>
      <c r="Q20" s="1" t="e">
        <f>"EXEC SP_ADDEXTENDEDPROPERTY 'MS_Description', '"&amp;D20&amp;"', 'USER', dbo, 'TABLE', '"&amp;#REF!&amp;"', 'COLUMN', '"&amp;C20&amp;"'"</f>
        <v>#REF!</v>
      </c>
    </row>
    <row r="21" spans="1:17" s="1" customFormat="1" x14ac:dyDescent="0.3">
      <c r="A21" s="2"/>
      <c r="B21" s="2" t="s">
        <v>335</v>
      </c>
      <c r="C21" s="2" t="s">
        <v>380</v>
      </c>
      <c r="D21" s="2" t="s">
        <v>335</v>
      </c>
      <c r="E21" s="2" t="s">
        <v>545</v>
      </c>
      <c r="F21" s="2" t="s">
        <v>388</v>
      </c>
      <c r="G21" s="2"/>
      <c r="I21" s="1" t="str">
        <f t="shared" si="0"/>
        <v>DY_SP</v>
      </c>
      <c r="J21" s="1" t="str">
        <f t="shared" si="1"/>
        <v>NUMBER</v>
      </c>
      <c r="K21" s="1" t="str">
        <f t="shared" si="2"/>
        <v>(</v>
      </c>
      <c r="L21" s="1" t="str">
        <f t="shared" si="3"/>
        <v>8,1</v>
      </c>
      <c r="M21" s="1" t="str">
        <f t="shared" si="4"/>
        <v>)</v>
      </c>
      <c r="N21" s="1" t="str">
        <f t="shared" si="5"/>
        <v>NULL</v>
      </c>
      <c r="O21" s="1" t="s">
        <v>113</v>
      </c>
      <c r="Q21" s="1" t="e">
        <f>"EXEC SP_ADDEXTENDEDPROPERTY 'MS_Description', '"&amp;D21&amp;"', 'USER', dbo, 'TABLE', '"&amp;#REF!&amp;"', 'COLUMN', '"&amp;C21&amp;"'"</f>
        <v>#REF!</v>
      </c>
    </row>
    <row r="22" spans="1:17" s="1" customFormat="1" x14ac:dyDescent="0.3">
      <c r="A22" s="2"/>
      <c r="B22" s="2" t="s">
        <v>347</v>
      </c>
      <c r="C22" s="2" t="s">
        <v>395</v>
      </c>
      <c r="D22" s="2" t="s">
        <v>347</v>
      </c>
      <c r="E22" s="2" t="s">
        <v>618</v>
      </c>
      <c r="F22" s="2">
        <v>10</v>
      </c>
      <c r="G22" s="2"/>
      <c r="I22" s="1" t="str">
        <f t="shared" si="0"/>
        <v>ICM_CODE</v>
      </c>
      <c r="J22" s="1" t="str">
        <f t="shared" si="1"/>
        <v>NVARCHAR2</v>
      </c>
      <c r="K22" s="1" t="str">
        <f t="shared" si="2"/>
        <v>(</v>
      </c>
      <c r="L22" s="1">
        <f t="shared" si="3"/>
        <v>10</v>
      </c>
      <c r="M22" s="1" t="str">
        <f t="shared" si="4"/>
        <v>)</v>
      </c>
      <c r="N22" s="1" t="str">
        <f t="shared" si="5"/>
        <v>NULL</v>
      </c>
      <c r="O22" s="1" t="s">
        <v>113</v>
      </c>
      <c r="Q22" s="1" t="e">
        <f>"EXEC SP_ADDEXTENDEDPROPERTY 'MS_Description', '"&amp;D22&amp;"', 'USER', dbo, 'TABLE', '"&amp;#REF!&amp;"', 'COLUMN', '"&amp;C22&amp;"'"</f>
        <v>#REF!</v>
      </c>
    </row>
    <row r="23" spans="1:17" s="1" customFormat="1" x14ac:dyDescent="0.3">
      <c r="A23" s="2"/>
      <c r="B23" s="2" t="s">
        <v>428</v>
      </c>
      <c r="C23" s="2" t="s">
        <v>315</v>
      </c>
      <c r="D23" s="2" t="s">
        <v>428</v>
      </c>
      <c r="E23" s="2" t="s">
        <v>618</v>
      </c>
      <c r="F23" s="2">
        <v>20</v>
      </c>
      <c r="G23" s="2"/>
      <c r="I23" s="1" t="str">
        <f t="shared" si="0"/>
        <v>WORKER</v>
      </c>
      <c r="J23" s="1" t="str">
        <f t="shared" si="1"/>
        <v>NVARCHAR2</v>
      </c>
      <c r="K23" s="1" t="str">
        <f t="shared" si="2"/>
        <v>(</v>
      </c>
      <c r="L23" s="1">
        <f t="shared" si="3"/>
        <v>20</v>
      </c>
      <c r="M23" s="1" t="str">
        <f t="shared" si="4"/>
        <v>)</v>
      </c>
      <c r="N23" s="1" t="str">
        <f t="shared" si="5"/>
        <v>NULL</v>
      </c>
      <c r="O23" s="1" t="s">
        <v>113</v>
      </c>
      <c r="Q23" s="1" t="e">
        <f>"EXEC SP_ADDEXTENDEDPROPERTY 'MS_Description', '"&amp;D23&amp;"', 'USER', dbo, 'TABLE', '"&amp;#REF!&amp;"', 'COLUMN', '"&amp;C23&amp;"'"</f>
        <v>#REF!</v>
      </c>
    </row>
    <row r="24" spans="1:17" s="1" customFormat="1" x14ac:dyDescent="0.3">
      <c r="A24" s="2"/>
      <c r="B24" s="2" t="s">
        <v>4</v>
      </c>
      <c r="C24" s="2" t="s">
        <v>491</v>
      </c>
      <c r="D24" s="2" t="s">
        <v>4</v>
      </c>
      <c r="E24" s="2" t="s">
        <v>545</v>
      </c>
      <c r="F24" s="2" t="s">
        <v>389</v>
      </c>
      <c r="G24" s="2"/>
      <c r="I24" s="1" t="str">
        <f t="shared" si="0"/>
        <v>FEEDER</v>
      </c>
      <c r="J24" s="1" t="str">
        <f t="shared" si="1"/>
        <v>NUMBER</v>
      </c>
      <c r="K24" s="1" t="str">
        <f t="shared" si="2"/>
        <v>(</v>
      </c>
      <c r="L24" s="1" t="str">
        <f t="shared" si="3"/>
        <v>8,0</v>
      </c>
      <c r="M24" s="1" t="str">
        <f t="shared" si="4"/>
        <v>)</v>
      </c>
      <c r="N24" s="1" t="str">
        <f t="shared" si="5"/>
        <v>NULL</v>
      </c>
      <c r="O24" s="1" t="s">
        <v>113</v>
      </c>
      <c r="Q24" s="1" t="e">
        <f>"EXEC SP_ADDEXTENDEDPROPERTY 'MS_Description', '"&amp;D24&amp;"', 'USER', dbo, 'TABLE', '"&amp;#REF!&amp;"', 'COLUMN', '"&amp;C24&amp;"'"</f>
        <v>#REF!</v>
      </c>
    </row>
    <row r="25" spans="1:17" s="1" customFormat="1" x14ac:dyDescent="0.3">
      <c r="A25" s="2"/>
      <c r="B25" s="2" t="s">
        <v>8</v>
      </c>
      <c r="C25" s="2" t="s">
        <v>497</v>
      </c>
      <c r="D25" s="2" t="s">
        <v>8</v>
      </c>
      <c r="E25" s="2" t="s">
        <v>545</v>
      </c>
      <c r="F25" s="2" t="s">
        <v>389</v>
      </c>
      <c r="G25" s="2"/>
      <c r="I25" s="1" t="str">
        <f t="shared" si="0"/>
        <v>AMPER</v>
      </c>
      <c r="J25" s="1" t="str">
        <f t="shared" si="1"/>
        <v>NUMBER</v>
      </c>
      <c r="K25" s="1" t="str">
        <f t="shared" si="2"/>
        <v>(</v>
      </c>
      <c r="L25" s="1" t="str">
        <f t="shared" si="3"/>
        <v>8,0</v>
      </c>
      <c r="M25" s="1" t="str">
        <f t="shared" si="4"/>
        <v>)</v>
      </c>
      <c r="N25" s="1" t="str">
        <f t="shared" si="5"/>
        <v>NULL</v>
      </c>
      <c r="O25" s="1" t="s">
        <v>113</v>
      </c>
      <c r="Q25" s="1" t="e">
        <f>"EXEC SP_ADDEXTENDEDPROPERTY 'MS_Description', '"&amp;D25&amp;"', 'USER', dbo, 'TABLE', '"&amp;#REF!&amp;"', 'COLUMN', '"&amp;C25&amp;"'"</f>
        <v>#REF!</v>
      </c>
    </row>
    <row r="26" spans="1:17" s="1" customFormat="1" x14ac:dyDescent="0.3">
      <c r="A26" s="2"/>
      <c r="B26" s="2" t="s">
        <v>421</v>
      </c>
      <c r="C26" s="2" t="s">
        <v>280</v>
      </c>
      <c r="D26" s="2" t="s">
        <v>421</v>
      </c>
      <c r="E26" s="2" t="s">
        <v>545</v>
      </c>
      <c r="F26" s="2" t="s">
        <v>388</v>
      </c>
      <c r="G26" s="2"/>
      <c r="I26" s="1" t="str">
        <f t="shared" si="0"/>
        <v>FEEDER_RATE</v>
      </c>
      <c r="J26" s="1" t="str">
        <f t="shared" si="1"/>
        <v>NUMBER</v>
      </c>
      <c r="K26" s="1" t="str">
        <f t="shared" si="2"/>
        <v>(</v>
      </c>
      <c r="L26" s="1" t="str">
        <f t="shared" si="3"/>
        <v>8,1</v>
      </c>
      <c r="M26" s="1" t="str">
        <f t="shared" si="4"/>
        <v>)</v>
      </c>
      <c r="N26" s="1" t="str">
        <f t="shared" si="5"/>
        <v>NULL</v>
      </c>
      <c r="O26" s="1" t="s">
        <v>113</v>
      </c>
      <c r="Q26" s="1" t="e">
        <f>"EXEC SP_ADDEXTENDEDPROPERTY 'MS_Description', '"&amp;D26&amp;"', 'USER', dbo, 'TABLE', '"&amp;#REF!&amp;"', 'COLUMN', '"&amp;C26&amp;"'"</f>
        <v>#REF!</v>
      </c>
    </row>
    <row r="27" spans="1:17" s="1" customFormat="1" x14ac:dyDescent="0.3">
      <c r="A27" s="2"/>
      <c r="B27" s="2" t="s">
        <v>365</v>
      </c>
      <c r="C27" s="2" t="s">
        <v>385</v>
      </c>
      <c r="D27" s="2" t="s">
        <v>365</v>
      </c>
      <c r="E27" s="2" t="s">
        <v>618</v>
      </c>
      <c r="F27" s="2">
        <v>1</v>
      </c>
      <c r="G27" s="2"/>
      <c r="I27" s="1" t="str">
        <f t="shared" si="0"/>
        <v>CRUMBLE_YN</v>
      </c>
      <c r="J27" s="1" t="str">
        <f t="shared" si="1"/>
        <v>NVARCHAR2</v>
      </c>
      <c r="K27" s="1" t="str">
        <f t="shared" si="2"/>
        <v>(</v>
      </c>
      <c r="L27" s="1">
        <f t="shared" si="3"/>
        <v>1</v>
      </c>
      <c r="M27" s="1" t="str">
        <f t="shared" si="4"/>
        <v>)</v>
      </c>
      <c r="N27" s="1" t="str">
        <f t="shared" si="5"/>
        <v>NULL</v>
      </c>
      <c r="O27" s="1" t="s">
        <v>113</v>
      </c>
      <c r="Q27" s="1" t="e">
        <f>"EXEC SP_ADDEXTENDEDPROPERTY 'MS_Description', '"&amp;D27&amp;"', 'USER', dbo, 'TABLE', '"&amp;#REF!&amp;"', 'COLUMN', '"&amp;C27&amp;"'"</f>
        <v>#REF!</v>
      </c>
    </row>
    <row r="28" spans="1:17" s="1" customFormat="1" x14ac:dyDescent="0.3">
      <c r="A28" s="2"/>
      <c r="B28" s="2" t="s">
        <v>483</v>
      </c>
      <c r="C28" s="2" t="s">
        <v>341</v>
      </c>
      <c r="D28" s="2" t="s">
        <v>483</v>
      </c>
      <c r="E28" s="2" t="s">
        <v>545</v>
      </c>
      <c r="F28" s="2" t="s">
        <v>388</v>
      </c>
      <c r="G28" s="2"/>
      <c r="I28" s="1" t="str">
        <f t="shared" si="0"/>
        <v>HARDNESS</v>
      </c>
      <c r="J28" s="1" t="str">
        <f t="shared" si="1"/>
        <v>NUMBER</v>
      </c>
      <c r="K28" s="1" t="str">
        <f t="shared" si="2"/>
        <v>(</v>
      </c>
      <c r="L28" s="1" t="str">
        <f t="shared" si="3"/>
        <v>8,1</v>
      </c>
      <c r="M28" s="1" t="str">
        <f t="shared" si="4"/>
        <v>)</v>
      </c>
      <c r="N28" s="1" t="str">
        <f>IF(G28="N","NOT NULL","NULL")</f>
        <v>NULL</v>
      </c>
      <c r="O28" s="1" t="s">
        <v>113</v>
      </c>
      <c r="Q28" s="1" t="e">
        <f>"EXEC SP_ADDEXTENDEDPROPERTY 'MS_Description', '"&amp;D28&amp;"', 'USER', dbo, 'TABLE', '"&amp;#REF!&amp;"', 'COLUMN', '"&amp;C28&amp;"'"</f>
        <v>#REF!</v>
      </c>
    </row>
    <row r="29" spans="1:17" s="1" customFormat="1" x14ac:dyDescent="0.3">
      <c r="A29" s="2"/>
      <c r="B29" s="2" t="s">
        <v>7</v>
      </c>
      <c r="C29" s="2" t="s">
        <v>7</v>
      </c>
      <c r="D29" s="2" t="s">
        <v>7</v>
      </c>
      <c r="E29" s="2" t="s">
        <v>545</v>
      </c>
      <c r="F29" s="2" t="s">
        <v>388</v>
      </c>
      <c r="G29" s="2"/>
      <c r="I29" s="1" t="str">
        <f t="shared" si="0"/>
        <v>PDI</v>
      </c>
      <c r="J29" s="1" t="str">
        <f t="shared" si="1"/>
        <v>NUMBER</v>
      </c>
      <c r="K29" s="1" t="str">
        <f t="shared" si="2"/>
        <v>(</v>
      </c>
      <c r="L29" s="1" t="str">
        <f t="shared" si="3"/>
        <v>8,1</v>
      </c>
      <c r="M29" s="1" t="str">
        <f t="shared" si="4"/>
        <v>)</v>
      </c>
      <c r="N29" s="1" t="str">
        <f t="shared" si="5"/>
        <v>NULL</v>
      </c>
      <c r="O29" s="1" t="s">
        <v>113</v>
      </c>
      <c r="Q29" s="1" t="e">
        <f>"EXEC SP_ADDEXTENDEDPROPERTY 'MS_Description', '"&amp;D29&amp;"', 'USER', dbo, 'TABLE', '"&amp;#REF!&amp;"', 'COLUMN', '"&amp;C29&amp;"'"</f>
        <v>#REF!</v>
      </c>
    </row>
    <row r="30" spans="1:17" s="1" customFormat="1" x14ac:dyDescent="0.3">
      <c r="A30" s="2"/>
      <c r="B30" s="2" t="s">
        <v>2</v>
      </c>
      <c r="C30" s="2" t="s">
        <v>342</v>
      </c>
      <c r="D30" s="2" t="s">
        <v>2</v>
      </c>
      <c r="E30" s="2" t="s">
        <v>545</v>
      </c>
      <c r="F30" s="2" t="s">
        <v>388</v>
      </c>
      <c r="G30" s="2"/>
      <c r="I30" s="1" t="str">
        <f t="shared" si="0"/>
        <v>CLEAN_QTY</v>
      </c>
      <c r="J30" s="1" t="str">
        <f t="shared" si="1"/>
        <v>NUMBER</v>
      </c>
      <c r="K30" s="1" t="str">
        <f t="shared" si="2"/>
        <v>(</v>
      </c>
      <c r="L30" s="1" t="str">
        <f t="shared" si="3"/>
        <v>8,1</v>
      </c>
      <c r="M30" s="1" t="str">
        <f t="shared" si="4"/>
        <v>)</v>
      </c>
      <c r="N30" s="1" t="str">
        <f t="shared" si="5"/>
        <v>NULL</v>
      </c>
      <c r="O30" s="1" t="s">
        <v>113</v>
      </c>
      <c r="Q30" s="1" t="e">
        <f>"EXEC SP_ADDEXTENDEDPROPERTY 'MS_Description', '"&amp;D30&amp;"', 'USER', dbo, 'TABLE', '"&amp;#REF!&amp;"', 'COLUMN', '"&amp;C30&amp;"'"</f>
        <v>#REF!</v>
      </c>
    </row>
    <row r="31" spans="1:17" s="1" customFormat="1" x14ac:dyDescent="0.3">
      <c r="A31" s="2"/>
      <c r="B31" s="2" t="s">
        <v>355</v>
      </c>
      <c r="C31" s="2" t="s">
        <v>485</v>
      </c>
      <c r="D31" s="2" t="s">
        <v>355</v>
      </c>
      <c r="E31" s="2" t="s">
        <v>618</v>
      </c>
      <c r="F31" s="2">
        <v>20</v>
      </c>
      <c r="G31" s="2"/>
      <c r="I31" s="1" t="str">
        <f t="shared" si="0"/>
        <v>IN_BIN_CODE</v>
      </c>
      <c r="J31" s="1" t="str">
        <f t="shared" si="1"/>
        <v>NVARCHAR2</v>
      </c>
      <c r="K31" s="1" t="str">
        <f t="shared" si="2"/>
        <v>(</v>
      </c>
      <c r="L31" s="1">
        <f t="shared" si="3"/>
        <v>20</v>
      </c>
      <c r="M31" s="1" t="str">
        <f t="shared" si="4"/>
        <v>)</v>
      </c>
      <c r="N31" s="1" t="str">
        <f t="shared" si="5"/>
        <v>NULL</v>
      </c>
      <c r="O31" s="1" t="s">
        <v>113</v>
      </c>
      <c r="Q31" s="1" t="e">
        <f>"EXEC SP_ADDEXTENDEDPROPERTY 'MS_Description', '"&amp;D31&amp;"', 'USER', dbo, 'TABLE', '"&amp;#REF!&amp;"', 'COLUMN', '"&amp;C31&amp;"'"</f>
        <v>#REF!</v>
      </c>
    </row>
    <row r="32" spans="1:17" s="1" customFormat="1" x14ac:dyDescent="0.3">
      <c r="A32" s="2"/>
      <c r="B32" s="2" t="s">
        <v>391</v>
      </c>
      <c r="C32" s="2" t="s">
        <v>407</v>
      </c>
      <c r="D32" s="2" t="s">
        <v>391</v>
      </c>
      <c r="E32" s="2" t="s">
        <v>618</v>
      </c>
      <c r="F32" s="2">
        <v>21</v>
      </c>
      <c r="G32" s="2"/>
      <c r="I32" s="1" t="str">
        <f t="shared" si="0"/>
        <v>OUT_BIN_CODE</v>
      </c>
      <c r="J32" s="1" t="str">
        <f t="shared" si="1"/>
        <v>NVARCHAR2</v>
      </c>
      <c r="K32" s="1" t="str">
        <f t="shared" si="2"/>
        <v>(</v>
      </c>
      <c r="L32" s="1">
        <f t="shared" si="3"/>
        <v>21</v>
      </c>
      <c r="M32" s="1" t="str">
        <f t="shared" si="4"/>
        <v>)</v>
      </c>
      <c r="N32" s="1" t="str">
        <f t="shared" si="5"/>
        <v>NULL</v>
      </c>
      <c r="O32" s="1" t="s">
        <v>113</v>
      </c>
      <c r="Q32" s="1" t="e">
        <f>"EXEC SP_ADDEXTENDEDPROPERTY 'MS_Description', '"&amp;D32&amp;"', 'USER', dbo, 'TABLE', '"&amp;#REF!&amp;"', 'COLUMN', '"&amp;C32&amp;"'"</f>
        <v>#REF!</v>
      </c>
    </row>
    <row r="33" spans="1:17" s="1" customFormat="1" x14ac:dyDescent="0.3">
      <c r="A33" s="2"/>
      <c r="B33" s="2" t="s">
        <v>3</v>
      </c>
      <c r="C33" s="2" t="s">
        <v>3</v>
      </c>
      <c r="D33" s="2" t="s">
        <v>3</v>
      </c>
      <c r="E33" s="2" t="s">
        <v>545</v>
      </c>
      <c r="F33" s="2" t="s">
        <v>389</v>
      </c>
      <c r="G33" s="2"/>
      <c r="I33" s="1" t="str">
        <f t="shared" si="0"/>
        <v>HZ</v>
      </c>
      <c r="J33" s="1" t="str">
        <f t="shared" si="1"/>
        <v>NUMBER</v>
      </c>
      <c r="K33" s="1" t="str">
        <f t="shared" si="2"/>
        <v>(</v>
      </c>
      <c r="L33" s="1" t="str">
        <f t="shared" si="3"/>
        <v>8,0</v>
      </c>
      <c r="M33" s="1" t="str">
        <f t="shared" si="4"/>
        <v>)</v>
      </c>
      <c r="N33" s="1" t="str">
        <f t="shared" si="5"/>
        <v>NULL</v>
      </c>
      <c r="O33" s="1" t="s">
        <v>113</v>
      </c>
      <c r="Q33" s="1" t="e">
        <f>"EXEC SP_ADDEXTENDEDPROPERTY 'MS_Description', '"&amp;D33&amp;"', 'USER', dbo, 'TABLE', '"&amp;#REF!&amp;"', 'COLUMN', '"&amp;C33&amp;"'"</f>
        <v>#REF!</v>
      </c>
    </row>
    <row r="34" spans="1:17" s="1" customFormat="1" x14ac:dyDescent="0.3">
      <c r="A34" s="2"/>
      <c r="B34" s="2" t="s">
        <v>492</v>
      </c>
      <c r="C34" s="2" t="s">
        <v>403</v>
      </c>
      <c r="D34" s="2" t="s">
        <v>492</v>
      </c>
      <c r="E34" s="2" t="s">
        <v>545</v>
      </c>
      <c r="F34" s="2" t="s">
        <v>388</v>
      </c>
      <c r="G34" s="2"/>
      <c r="I34" s="1" t="str">
        <f t="shared" si="0"/>
        <v>CD_TEMP</v>
      </c>
      <c r="J34" s="1" t="str">
        <f t="shared" si="1"/>
        <v>NUMBER</v>
      </c>
      <c r="K34" s="1" t="str">
        <f t="shared" si="2"/>
        <v>(</v>
      </c>
      <c r="L34" s="1" t="str">
        <f t="shared" si="3"/>
        <v>8,1</v>
      </c>
      <c r="M34" s="1" t="str">
        <f t="shared" si="4"/>
        <v>)</v>
      </c>
      <c r="N34" s="1" t="str">
        <f t="shared" si="5"/>
        <v>NULL</v>
      </c>
      <c r="O34" s="1" t="s">
        <v>113</v>
      </c>
      <c r="Q34" s="1" t="e">
        <f>"EXEC SP_ADDEXTENDEDPROPERTY 'MS_Description', '"&amp;D34&amp;"', 'USER', dbo, 'TABLE', '"&amp;#REF!&amp;"', 'COLUMN', '"&amp;C34&amp;"'"</f>
        <v>#REF!</v>
      </c>
    </row>
    <row r="35" spans="1:17" s="1" customFormat="1" x14ac:dyDescent="0.3">
      <c r="A35" s="2"/>
      <c r="B35" s="2" t="s">
        <v>493</v>
      </c>
      <c r="C35" s="2" t="s">
        <v>397</v>
      </c>
      <c r="D35" s="2" t="s">
        <v>493</v>
      </c>
      <c r="E35" s="2" t="s">
        <v>545</v>
      </c>
      <c r="F35" s="2" t="s">
        <v>388</v>
      </c>
      <c r="G35" s="2"/>
      <c r="I35" s="1" t="str">
        <f t="shared" si="0"/>
        <v>PROD_TEMP</v>
      </c>
      <c r="J35" s="1" t="str">
        <f t="shared" si="1"/>
        <v>NUMBER</v>
      </c>
      <c r="K35" s="1" t="str">
        <f t="shared" si="2"/>
        <v>(</v>
      </c>
      <c r="L35" s="1" t="str">
        <f t="shared" si="3"/>
        <v>8,1</v>
      </c>
      <c r="M35" s="1" t="str">
        <f t="shared" si="4"/>
        <v>)</v>
      </c>
      <c r="N35" s="1" t="str">
        <f t="shared" si="5"/>
        <v>NULL</v>
      </c>
      <c r="O35" s="1" t="s">
        <v>113</v>
      </c>
      <c r="Q35" s="1" t="e">
        <f>"EXEC SP_ADDEXTENDEDPROPERTY 'MS_Description', '"&amp;D35&amp;"', 'USER', dbo, 'TABLE', '"&amp;#REF!&amp;"', 'COLUMN', '"&amp;C35&amp;"'"</f>
        <v>#REF!</v>
      </c>
    </row>
    <row r="36" spans="1:17" s="1" customFormat="1" x14ac:dyDescent="0.3">
      <c r="A36" s="2"/>
      <c r="B36" s="2" t="s">
        <v>338</v>
      </c>
      <c r="C36" s="2" t="s">
        <v>396</v>
      </c>
      <c r="D36" s="2" t="s">
        <v>338</v>
      </c>
      <c r="E36" s="2" t="s">
        <v>545</v>
      </c>
      <c r="F36" s="2" t="s">
        <v>388</v>
      </c>
      <c r="G36" s="2"/>
      <c r="I36" s="1" t="str">
        <f t="shared" si="0"/>
        <v>COL_TEMP</v>
      </c>
      <c r="J36" s="1" t="str">
        <f t="shared" si="1"/>
        <v>NUMBER</v>
      </c>
      <c r="K36" s="1" t="str">
        <f t="shared" si="2"/>
        <v>(</v>
      </c>
      <c r="L36" s="1" t="str">
        <f t="shared" si="3"/>
        <v>8,1</v>
      </c>
      <c r="M36" s="1" t="str">
        <f t="shared" si="4"/>
        <v>)</v>
      </c>
      <c r="N36" s="1" t="str">
        <f t="shared" si="5"/>
        <v>NULL</v>
      </c>
      <c r="O36" s="1" t="s">
        <v>113</v>
      </c>
      <c r="Q36" s="1" t="e">
        <f>"EXEC SP_ADDEXTENDEDPROPERTY 'MS_Description', '"&amp;D36&amp;"', 'USER', dbo, 'TABLE', '"&amp;#REF!&amp;"', 'COLUMN', '"&amp;C36&amp;"'"</f>
        <v>#REF!</v>
      </c>
    </row>
    <row r="37" spans="1:17" x14ac:dyDescent="0.3">
      <c r="A37" s="2"/>
      <c r="B37" s="2" t="s">
        <v>431</v>
      </c>
      <c r="C37" s="2" t="s">
        <v>5</v>
      </c>
      <c r="D37" s="2" t="s">
        <v>431</v>
      </c>
      <c r="E37" s="2" t="s">
        <v>618</v>
      </c>
      <c r="F37" s="2" t="s">
        <v>109</v>
      </c>
      <c r="G37" s="2"/>
      <c r="H37" s="1"/>
      <c r="I37" s="1" t="str">
        <f t="shared" si="0"/>
        <v>DEC</v>
      </c>
      <c r="J37" s="1" t="str">
        <f t="shared" si="1"/>
        <v>NVARCHAR2</v>
      </c>
      <c r="K37" s="1" t="str">
        <f t="shared" si="2"/>
        <v>(</v>
      </c>
      <c r="L37" s="1" t="str">
        <f t="shared" si="3"/>
        <v>MAX</v>
      </c>
      <c r="M37" s="1" t="str">
        <f t="shared" si="4"/>
        <v>)</v>
      </c>
      <c r="N37" s="1" t="str">
        <f>IF(G37="N","NOT NULL","NULL")</f>
        <v>NULL</v>
      </c>
      <c r="O37" s="1" t="s">
        <v>113</v>
      </c>
      <c r="Q37" s="1" t="e">
        <f>"EXEC SP_ADDEXTENDEDPROPERTY 'MS_Description', '"&amp;D37&amp;"', 'USER', dbo, 'TABLE', '"&amp;#REF!&amp;"', 'COLUMN', '"&amp;C37&amp;"'"</f>
        <v>#REF!</v>
      </c>
    </row>
    <row r="38" spans="1:17" x14ac:dyDescent="0.3">
      <c r="A38" s="2"/>
      <c r="B38" s="2" t="s">
        <v>111</v>
      </c>
      <c r="C38" s="2" t="s">
        <v>790</v>
      </c>
      <c r="D38" s="2" t="s">
        <v>188</v>
      </c>
      <c r="E38" s="2" t="s">
        <v>618</v>
      </c>
      <c r="F38" s="2">
        <v>20</v>
      </c>
      <c r="G38" s="2" t="s">
        <v>90</v>
      </c>
      <c r="H38" s="1"/>
      <c r="I38" s="1" t="str">
        <f>""&amp;C38&amp;""</f>
        <v>INITBY</v>
      </c>
      <c r="J38" s="1" t="str">
        <f>""&amp;E38&amp;""</f>
        <v>NVARCHAR2</v>
      </c>
      <c r="K38" s="1" t="str">
        <f t="shared" si="2"/>
        <v>(</v>
      </c>
      <c r="L38" s="1">
        <f t="shared" si="3"/>
        <v>20</v>
      </c>
      <c r="M38" s="1" t="str">
        <f t="shared" si="4"/>
        <v>)</v>
      </c>
      <c r="N38" s="1" t="str">
        <f>IF(G38="N","NOT NULL","NULL")</f>
        <v>NOT NULL</v>
      </c>
      <c r="O38" s="1" t="s">
        <v>113</v>
      </c>
      <c r="P38" s="1"/>
      <c r="Q38" s="1" t="e">
        <f>"EXEC SP_ADDEXTENDEDPROPERTY 'MS_Description', '"&amp;D38&amp;"', 'USER', dbo, 'TABLE', '"&amp;#REF!&amp;"', 'COLUMN', '"&amp;C38&amp;"'"</f>
        <v>#REF!</v>
      </c>
    </row>
    <row r="39" spans="1:17" x14ac:dyDescent="0.3">
      <c r="A39" s="2"/>
      <c r="B39" s="2" t="s">
        <v>254</v>
      </c>
      <c r="C39" s="2" t="s">
        <v>791</v>
      </c>
      <c r="D39" s="2" t="s">
        <v>254</v>
      </c>
      <c r="E39" s="2" t="s">
        <v>228</v>
      </c>
      <c r="F39" s="2"/>
      <c r="G39" s="2" t="s">
        <v>90</v>
      </c>
      <c r="H39" s="1"/>
      <c r="I39" s="1" t="str">
        <f>""&amp;C39&amp;""</f>
        <v>INITDTTM</v>
      </c>
      <c r="J39" s="1" t="str">
        <f>""&amp;E39&amp;""</f>
        <v>DATE</v>
      </c>
      <c r="K39" s="1" t="str">
        <f t="shared" si="2"/>
        <v/>
      </c>
      <c r="L39" s="1" t="str">
        <f t="shared" si="3"/>
        <v/>
      </c>
      <c r="M39" s="1" t="str">
        <f t="shared" si="4"/>
        <v/>
      </c>
      <c r="N39" s="1" t="str">
        <f>IF(G39="N","NOT NULL","NULL")</f>
        <v>NOT NULL</v>
      </c>
      <c r="O39" s="1" t="s">
        <v>113</v>
      </c>
      <c r="P39" s="1"/>
      <c r="Q39" s="1" t="e">
        <f>"EXEC SP_ADDEXTENDEDPROPERTY 'MS_Description', '"&amp;D39&amp;"', 'USER', dbo, 'TABLE', '"&amp;#REF!&amp;"', 'COLUMN', '"&amp;C39&amp;"'"</f>
        <v>#REF!</v>
      </c>
    </row>
    <row r="40" spans="1:17" x14ac:dyDescent="0.3">
      <c r="A40" s="2"/>
      <c r="B40" s="2" t="s">
        <v>99</v>
      </c>
      <c r="C40" s="2" t="s">
        <v>793</v>
      </c>
      <c r="D40" s="2" t="s">
        <v>197</v>
      </c>
      <c r="E40" s="2" t="s">
        <v>618</v>
      </c>
      <c r="F40" s="2">
        <v>20</v>
      </c>
      <c r="G40" s="2" t="s">
        <v>122</v>
      </c>
      <c r="H40" s="1"/>
      <c r="I40" s="1" t="str">
        <f>""&amp;C40&amp;""</f>
        <v>UPBY</v>
      </c>
      <c r="J40" s="1" t="str">
        <f>""&amp;E40&amp;""</f>
        <v>NVARCHAR2</v>
      </c>
      <c r="K40" s="1" t="str">
        <f t="shared" si="2"/>
        <v>(</v>
      </c>
      <c r="L40" s="1">
        <f t="shared" si="3"/>
        <v>20</v>
      </c>
      <c r="M40" s="1" t="str">
        <f t="shared" si="4"/>
        <v>)</v>
      </c>
      <c r="N40" s="1" t="str">
        <f>IF(G40="N","NOT NULL","NULL")</f>
        <v>NULL</v>
      </c>
      <c r="O40" s="1" t="s">
        <v>113</v>
      </c>
      <c r="P40" s="1"/>
      <c r="Q40" s="1" t="e">
        <f>"EXEC SP_ADDEXTENDEDPROPERTY 'MS_Description', '"&amp;D40&amp;"', 'USER', dbo, 'TABLE', '"&amp;#REF!&amp;"', 'COLUMN', '"&amp;C40&amp;"'"</f>
        <v>#REF!</v>
      </c>
    </row>
    <row r="41" spans="1:17" x14ac:dyDescent="0.3">
      <c r="A41" s="2"/>
      <c r="B41" s="2" t="s">
        <v>259</v>
      </c>
      <c r="C41" s="2" t="s">
        <v>792</v>
      </c>
      <c r="D41" s="2" t="s">
        <v>259</v>
      </c>
      <c r="E41" s="2" t="s">
        <v>228</v>
      </c>
      <c r="F41" s="2"/>
      <c r="G41" s="2" t="s">
        <v>122</v>
      </c>
      <c r="H41" s="1"/>
      <c r="I41" s="1" t="str">
        <f>""&amp;C41&amp;""</f>
        <v>UPDTTM</v>
      </c>
      <c r="J41" s="1" t="str">
        <f>""&amp;E41&amp;""</f>
        <v>DATE</v>
      </c>
      <c r="K41" s="1" t="str">
        <f t="shared" si="2"/>
        <v/>
      </c>
      <c r="L41" s="1" t="str">
        <f t="shared" si="3"/>
        <v/>
      </c>
      <c r="M41" s="1" t="str">
        <f t="shared" si="4"/>
        <v/>
      </c>
      <c r="N41" s="1" t="str">
        <f>IF(G41="N","NOT NULL","NULL")</f>
        <v>NULL</v>
      </c>
      <c r="O41" s="1" t="s">
        <v>113</v>
      </c>
      <c r="P41" s="1"/>
      <c r="Q41" s="1" t="e">
        <f>"EXEC SP_ADDEXTENDEDPROPERTY 'MS_Description', '"&amp;D41&amp;"', 'USER', dbo, 'TABLE', '"&amp;#REF!&amp;"', 'COLUMN', '"&amp;C41&amp;"'"</f>
        <v>#REF!</v>
      </c>
    </row>
    <row r="42" spans="1:17" x14ac:dyDescent="0.3">
      <c r="I42" t="str">
        <f>"CONSTRAINT PK__"&amp;C3&amp;" PRIMARY KEY CLUSTERED("</f>
        <v>CONSTRAINT PK__PELLET PRIMARY KEY CLUSTERED(</v>
      </c>
    </row>
    <row r="43" spans="1:17" x14ac:dyDescent="0.3">
      <c r="I43" t="str">
        <f>IF(A37="Y",C37,"")</f>
        <v/>
      </c>
      <c r="J43" s="1" t="str">
        <f>IF(A37="Y","ASC","")</f>
        <v/>
      </c>
      <c r="K43" s="3" t="str">
        <f>IF(A37="Y",",","")</f>
        <v/>
      </c>
      <c r="L43" s="3"/>
      <c r="M43" s="3"/>
      <c r="N43" s="3"/>
    </row>
    <row r="44" spans="1:17" x14ac:dyDescent="0.3">
      <c r="I44" s="1" t="e">
        <f>IF(#REF!="Y",#REF!,"")</f>
        <v>#REF!</v>
      </c>
      <c r="J44" s="1" t="e">
        <f>IF(#REF!="Y","ASC","")</f>
        <v>#REF!</v>
      </c>
      <c r="K44" s="1" t="e">
        <f>IF(#REF!="Y",",","")</f>
        <v>#REF!</v>
      </c>
      <c r="L44" s="1"/>
      <c r="M44" s="1"/>
      <c r="N44" s="1"/>
    </row>
    <row r="45" spans="1:17" x14ac:dyDescent="0.3">
      <c r="I45" s="1" t="e">
        <f>IF(#REF!="Y",#REF!,"")</f>
        <v>#REF!</v>
      </c>
      <c r="J45" s="1" t="e">
        <f>IF(#REF!="Y","ASC","")</f>
        <v>#REF!</v>
      </c>
      <c r="K45" s="1" t="e">
        <f>IF(#REF!="Y",",","")</f>
        <v>#REF!</v>
      </c>
      <c r="L45" s="1"/>
      <c r="M45" s="1"/>
      <c r="N45" s="1"/>
    </row>
    <row r="46" spans="1:17" x14ac:dyDescent="0.3">
      <c r="I46" s="1" t="e">
        <f>IF(#REF!="Y",#REF!,"")</f>
        <v>#REF!</v>
      </c>
      <c r="J46" s="1" t="e">
        <f>IF(#REF!="Y","ASC","")</f>
        <v>#REF!</v>
      </c>
      <c r="K46" s="1" t="e">
        <f>IF(#REF!="Y",",","")</f>
        <v>#REF!</v>
      </c>
      <c r="L46" s="1"/>
      <c r="M46" s="1"/>
      <c r="N46" s="1"/>
    </row>
    <row r="47" spans="1:17" x14ac:dyDescent="0.3">
      <c r="I47" s="1" t="e">
        <f>IF(#REF!="Y",#REF!,"")</f>
        <v>#REF!</v>
      </c>
      <c r="J47" s="1" t="e">
        <f>IF(#REF!="Y","ASC","")</f>
        <v>#REF!</v>
      </c>
      <c r="K47" s="1" t="e">
        <f>IF(#REF!="Y",",","")</f>
        <v>#REF!</v>
      </c>
      <c r="L47" s="1"/>
      <c r="M47" s="1"/>
      <c r="N47" s="1"/>
    </row>
    <row r="48" spans="1:17" x14ac:dyDescent="0.3">
      <c r="I48" s="1" t="e">
        <f>IF(#REF!="Y",#REF!,"")</f>
        <v>#REF!</v>
      </c>
      <c r="J48" s="1" t="e">
        <f>IF(#REF!="Y","ASC","")</f>
        <v>#REF!</v>
      </c>
      <c r="K48" s="1" t="e">
        <f>IF(#REF!="Y",",","")</f>
        <v>#REF!</v>
      </c>
      <c r="L48" s="1"/>
      <c r="M48" s="1"/>
      <c r="N48" s="1"/>
    </row>
    <row r="49" spans="9:14" x14ac:dyDescent="0.3">
      <c r="I49" s="1" t="e">
        <f>IF(#REF!="Y",#REF!,"")</f>
        <v>#REF!</v>
      </c>
      <c r="J49" s="1" t="e">
        <f>IF(#REF!="Y","ASC","")</f>
        <v>#REF!</v>
      </c>
      <c r="K49" s="1" t="e">
        <f>IF(#REF!="Y",",","")</f>
        <v>#REF!</v>
      </c>
      <c r="L49" s="1"/>
      <c r="M49" s="1"/>
      <c r="N49" s="1"/>
    </row>
    <row r="50" spans="9:14" x14ac:dyDescent="0.3">
      <c r="I50" t="s">
        <v>66</v>
      </c>
    </row>
    <row r="51" spans="9:14" x14ac:dyDescent="0.3">
      <c r="I51" t="s">
        <v>193</v>
      </c>
    </row>
  </sheetData>
  <phoneticPr fontId="7" type="noConversion"/>
  <hyperlinks>
    <hyperlink ref="A1" location="리스트!A1" display="리스트로 이동" xr:uid="{AD0C7BFB-BC72-4BFF-8149-BAF769A5E79F}"/>
  </hyperlinks>
  <pageMargins left="0.74805557727813721" right="0.74805557727813721" top="0.98430556058883667" bottom="0.98430556058883667" header="0.51166665554046631" footer="0.51166665554046631"/>
  <pageSetup paperSize="9" fitToWidth="0" fitToHeight="0" orientation="portrait" horizontalDpi="0" verticalDpi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Q56"/>
  <sheetViews>
    <sheetView zoomScaleNormal="100" zoomScaleSheetLayoutView="100" workbookViewId="0">
      <selection activeCell="I3" sqref="I3:P3"/>
    </sheetView>
  </sheetViews>
  <sheetFormatPr defaultColWidth="9" defaultRowHeight="16.5" x14ac:dyDescent="0.3"/>
  <cols>
    <col min="1" max="1" width="8.625" bestFit="1" customWidth="1"/>
    <col min="2" max="2" width="13.75" bestFit="1" customWidth="1"/>
    <col min="3" max="3" width="19.5" bestFit="1" customWidth="1"/>
    <col min="4" max="4" width="24.625" bestFit="1" customWidth="1"/>
    <col min="5" max="5" width="12.75" bestFit="1" customWidth="1"/>
    <col min="6" max="6" width="6.75" bestFit="1" customWidth="1"/>
    <col min="7" max="7" width="9" bestFit="1" customWidth="1"/>
    <col min="9" max="10" width="16.875" customWidth="1"/>
    <col min="11" max="11" width="1.625" bestFit="1" customWidth="1"/>
    <col min="12" max="12" width="3" bestFit="1" customWidth="1"/>
    <col min="13" max="13" width="1.625" bestFit="1" customWidth="1"/>
    <col min="14" max="15" width="10.125" bestFit="1" customWidth="1"/>
    <col min="16" max="16" width="16.875" customWidth="1"/>
  </cols>
  <sheetData>
    <row r="1" spans="1:17" x14ac:dyDescent="0.3">
      <c r="A1" s="16" t="s">
        <v>615</v>
      </c>
    </row>
    <row r="2" spans="1:17" x14ac:dyDescent="0.3">
      <c r="A2" s="2"/>
      <c r="B2" s="2" t="s">
        <v>116</v>
      </c>
      <c r="C2" s="2" t="s">
        <v>119</v>
      </c>
      <c r="D2" s="2" t="s">
        <v>112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3">
      <c r="A3" s="2"/>
      <c r="B3" s="2" t="s">
        <v>336</v>
      </c>
      <c r="C3" s="2" t="s">
        <v>276</v>
      </c>
      <c r="D3" s="2"/>
      <c r="E3" s="1"/>
      <c r="F3" s="1"/>
      <c r="G3" s="1"/>
      <c r="H3" s="1"/>
      <c r="I3" s="13" t="str">
        <f>"DROP TABLE "&amp;B3&amp;" CASCADE CONSTRAINTS PURGE"</f>
        <v>DROP TABLE 포장 CASCADE CONSTRAINTS PURGE</v>
      </c>
      <c r="J3" s="1"/>
      <c r="K3" s="1"/>
      <c r="L3" s="1"/>
      <c r="M3" s="1"/>
      <c r="N3" s="1"/>
      <c r="O3" s="21"/>
      <c r="P3" s="21" t="s">
        <v>771</v>
      </c>
      <c r="Q3" s="1"/>
    </row>
    <row r="4" spans="1:17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 t="s">
        <v>256</v>
      </c>
    </row>
    <row r="5" spans="1:17" x14ac:dyDescent="0.3">
      <c r="A5" s="2" t="s">
        <v>88</v>
      </c>
      <c r="B5" s="2" t="s">
        <v>215</v>
      </c>
      <c r="C5" s="2" t="s">
        <v>252</v>
      </c>
      <c r="D5" s="2" t="s">
        <v>169</v>
      </c>
      <c r="E5" s="2" t="s">
        <v>265</v>
      </c>
      <c r="F5" s="2" t="s">
        <v>101</v>
      </c>
      <c r="G5" s="2" t="s">
        <v>205</v>
      </c>
      <c r="H5" s="1"/>
      <c r="I5" s="1" t="str">
        <f>"CREATE TABLE "&amp;C3&amp;" ("</f>
        <v>CREATE TABLE PACK (</v>
      </c>
      <c r="J5" s="1"/>
      <c r="K5" s="1"/>
      <c r="L5" s="1"/>
      <c r="M5" s="1"/>
      <c r="N5" s="1"/>
      <c r="O5" s="1"/>
      <c r="P5" s="1"/>
      <c r="Q5" s="1"/>
    </row>
    <row r="6" spans="1:17" s="1" customFormat="1" x14ac:dyDescent="0.3">
      <c r="A6" s="2" t="s">
        <v>122</v>
      </c>
      <c r="B6" s="2" t="s">
        <v>35</v>
      </c>
      <c r="C6" s="2" t="s">
        <v>528</v>
      </c>
      <c r="D6" s="2" t="s">
        <v>71</v>
      </c>
      <c r="E6" s="2" t="s">
        <v>618</v>
      </c>
      <c r="F6" s="2">
        <v>20</v>
      </c>
      <c r="G6" s="2" t="s">
        <v>90</v>
      </c>
      <c r="I6" s="1" t="str">
        <f t="shared" ref="I6:I42" si="0">""&amp;C6&amp;""</f>
        <v>PLANT_CODE</v>
      </c>
      <c r="J6" s="1" t="str">
        <f t="shared" ref="J6:J42" si="1">""&amp;E6&amp;""</f>
        <v>NVARCHAR2</v>
      </c>
      <c r="K6" s="1" t="str">
        <f t="shared" ref="K6:K46" si="2">IF(F6="","","(")</f>
        <v>(</v>
      </c>
      <c r="L6" s="1">
        <f t="shared" ref="L6:L46" si="3">IF(F6="","",F6)</f>
        <v>20</v>
      </c>
      <c r="M6" s="1" t="str">
        <f t="shared" ref="M6:M46" si="4">IF(F6="","",")")</f>
        <v>)</v>
      </c>
      <c r="N6" s="1" t="str">
        <f>IF(G6="N","NOT NULL","NULL")</f>
        <v>NOT NULL</v>
      </c>
      <c r="O6" s="1" t="s">
        <v>113</v>
      </c>
      <c r="Q6" s="1" t="e">
        <f>"EXEC SP_ADDEXTENDEDPROPERTY 'MS_Description', '"&amp;D6&amp;"', 'USER', dbo, 'TABLE', '"&amp;#REF!&amp;"', 'COLUMN', '"&amp;C6&amp;"'"</f>
        <v>#REF!</v>
      </c>
    </row>
    <row r="7" spans="1:17" s="1" customFormat="1" x14ac:dyDescent="0.3">
      <c r="A7" s="2" t="s">
        <v>122</v>
      </c>
      <c r="B7" s="2" t="s">
        <v>245</v>
      </c>
      <c r="C7" s="2" t="s">
        <v>291</v>
      </c>
      <c r="D7" s="2" t="s">
        <v>294</v>
      </c>
      <c r="E7" s="2" t="s">
        <v>618</v>
      </c>
      <c r="F7" s="2">
        <v>20</v>
      </c>
      <c r="G7" s="2" t="s">
        <v>90</v>
      </c>
      <c r="I7" s="1" t="str">
        <f t="shared" si="0"/>
        <v>PROCESS_CODE</v>
      </c>
      <c r="J7" s="1" t="str">
        <f t="shared" si="1"/>
        <v>NVARCHAR2</v>
      </c>
      <c r="K7" s="1" t="str">
        <f t="shared" si="2"/>
        <v>(</v>
      </c>
      <c r="L7" s="1">
        <f t="shared" si="3"/>
        <v>20</v>
      </c>
      <c r="M7" s="1" t="str">
        <f t="shared" si="4"/>
        <v>)</v>
      </c>
      <c r="N7" s="1" t="str">
        <f>IF(G7="N","NOT NULL","NULL")</f>
        <v>NOT NULL</v>
      </c>
      <c r="O7" s="1" t="s">
        <v>113</v>
      </c>
      <c r="Q7" s="1" t="e">
        <f>"EXEC SP_ADDEXTENDEDPROPERTY 'MS_Description', '"&amp;D7&amp;"', 'USER', dbo, 'TABLE', '"&amp;#REF!&amp;"', 'COLUMN', '"&amp;C7&amp;"'"</f>
        <v>#REF!</v>
      </c>
    </row>
    <row r="8" spans="1:17" s="1" customFormat="1" x14ac:dyDescent="0.3">
      <c r="A8" s="2" t="s">
        <v>122</v>
      </c>
      <c r="B8" s="2" t="s">
        <v>317</v>
      </c>
      <c r="C8" s="2" t="s">
        <v>312</v>
      </c>
      <c r="D8" s="2" t="s">
        <v>426</v>
      </c>
      <c r="E8" s="2" t="s">
        <v>618</v>
      </c>
      <c r="F8" s="2">
        <v>10</v>
      </c>
      <c r="G8" s="2" t="s">
        <v>90</v>
      </c>
      <c r="I8" s="1" t="str">
        <f t="shared" si="0"/>
        <v>WORK_DATE</v>
      </c>
      <c r="J8" s="1" t="str">
        <f t="shared" si="1"/>
        <v>NVARCHAR2</v>
      </c>
      <c r="K8" s="1" t="str">
        <f t="shared" si="2"/>
        <v>(</v>
      </c>
      <c r="L8" s="1">
        <f t="shared" si="3"/>
        <v>10</v>
      </c>
      <c r="M8" s="1" t="str">
        <f t="shared" si="4"/>
        <v>)</v>
      </c>
      <c r="N8" s="1" t="str">
        <f>IF(G8="N","NOT NULL","NULL")</f>
        <v>NOT NULL</v>
      </c>
      <c r="O8" s="1" t="s">
        <v>113</v>
      </c>
      <c r="Q8" s="1" t="e">
        <f>"EXEC SP_ADDEXTENDEDPROPERTY 'MS_Description', '"&amp;D8&amp;"', 'USER', dbo, 'TABLE', '"&amp;#REF!&amp;"', 'COLUMN', '"&amp;C8&amp;"'"</f>
        <v>#REF!</v>
      </c>
    </row>
    <row r="9" spans="1:17" s="1" customFormat="1" x14ac:dyDescent="0.3">
      <c r="A9" s="2" t="s">
        <v>122</v>
      </c>
      <c r="B9" s="2" t="s">
        <v>316</v>
      </c>
      <c r="C9" s="2" t="s">
        <v>313</v>
      </c>
      <c r="D9" s="2" t="s">
        <v>316</v>
      </c>
      <c r="E9" s="2" t="s">
        <v>545</v>
      </c>
      <c r="F9" s="2"/>
      <c r="G9" s="2" t="s">
        <v>90</v>
      </c>
      <c r="I9" s="1" t="str">
        <f t="shared" si="0"/>
        <v>WORK_NUM</v>
      </c>
      <c r="J9" s="1" t="str">
        <f t="shared" si="1"/>
        <v>NUMBER</v>
      </c>
      <c r="K9" s="1" t="str">
        <f t="shared" si="2"/>
        <v/>
      </c>
      <c r="L9" s="1" t="str">
        <f t="shared" si="3"/>
        <v/>
      </c>
      <c r="M9" s="1" t="str">
        <f t="shared" si="4"/>
        <v/>
      </c>
      <c r="N9" s="1" t="str">
        <f>IF(G9="N","NOT NULL","NULL")</f>
        <v>NOT NULL</v>
      </c>
      <c r="O9" s="1" t="s">
        <v>113</v>
      </c>
      <c r="Q9" s="1" t="e">
        <f>"EXEC SP_ADDEXTENDEDPROPERTY 'MS_Description', '"&amp;D9&amp;"', 'USER', dbo, 'TABLE', '"&amp;#REF!&amp;"', 'COLUMN', '"&amp;C9&amp;"'"</f>
        <v>#REF!</v>
      </c>
    </row>
    <row r="10" spans="1:17" x14ac:dyDescent="0.3">
      <c r="A10" s="2" t="s">
        <v>122</v>
      </c>
      <c r="B10" s="2" t="s">
        <v>339</v>
      </c>
      <c r="C10" s="2" t="s">
        <v>452</v>
      </c>
      <c r="D10" s="2" t="s">
        <v>274</v>
      </c>
      <c r="E10" s="2" t="s">
        <v>618</v>
      </c>
      <c r="F10" s="2">
        <v>20</v>
      </c>
      <c r="G10" s="2" t="s">
        <v>90</v>
      </c>
      <c r="H10" s="1"/>
      <c r="I10" s="1" t="str">
        <f t="shared" si="0"/>
        <v>PACK_NO</v>
      </c>
      <c r="J10" s="1" t="str">
        <f t="shared" si="1"/>
        <v>NVARCHAR2</v>
      </c>
      <c r="K10" s="1" t="str">
        <f t="shared" si="2"/>
        <v>(</v>
      </c>
      <c r="L10" s="1">
        <f t="shared" si="3"/>
        <v>20</v>
      </c>
      <c r="M10" s="1" t="str">
        <f t="shared" si="4"/>
        <v>)</v>
      </c>
      <c r="N10" s="1" t="str">
        <f>IF(G10="N","NOT NULL","NULL")</f>
        <v>NOT NULL</v>
      </c>
      <c r="O10" s="1" t="s">
        <v>113</v>
      </c>
      <c r="Q10" s="1" t="e">
        <f>"EXEC SP_ADDEXTENDEDPROPERTY 'MS_Description', '"&amp;D10&amp;"', 'USER', dbo, 'TABLE', '"&amp;#REF!&amp;"', 'COLUMN', '"&amp;C10&amp;"'"</f>
        <v>#REF!</v>
      </c>
    </row>
    <row r="11" spans="1:17" s="1" customFormat="1" x14ac:dyDescent="0.3">
      <c r="A11" s="2"/>
      <c r="B11" s="2" t="s">
        <v>328</v>
      </c>
      <c r="C11" s="2" t="s">
        <v>149</v>
      </c>
      <c r="D11" s="2" t="s">
        <v>482</v>
      </c>
      <c r="E11" s="2" t="s">
        <v>618</v>
      </c>
      <c r="F11" s="2">
        <v>20</v>
      </c>
      <c r="G11" s="2" t="s">
        <v>90</v>
      </c>
      <c r="I11" s="1" t="str">
        <f t="shared" si="0"/>
        <v>MATERIAL_ID</v>
      </c>
      <c r="J11" s="1" t="str">
        <f t="shared" si="1"/>
        <v>NVARCHAR2</v>
      </c>
      <c r="K11" s="1" t="str">
        <f t="shared" si="2"/>
        <v>(</v>
      </c>
      <c r="L11" s="1">
        <f t="shared" si="3"/>
        <v>20</v>
      </c>
      <c r="M11" s="1" t="str">
        <f t="shared" si="4"/>
        <v>)</v>
      </c>
      <c r="N11" s="1" t="str">
        <f t="shared" ref="N11:N46" si="5">IF(G11="N","NOT NULL","NULL")</f>
        <v>NOT NULL</v>
      </c>
      <c r="O11" s="1" t="s">
        <v>113</v>
      </c>
      <c r="Q11" s="1" t="e">
        <f>"EXEC SP_ADDEXTENDEDPROPERTY 'MS_Description', '"&amp;D11&amp;"', 'USER', dbo, 'TABLE', '"&amp;#REF!&amp;"', 'COLUMN', '"&amp;C11&amp;"'"</f>
        <v>#REF!</v>
      </c>
    </row>
    <row r="12" spans="1:17" s="1" customFormat="1" x14ac:dyDescent="0.3">
      <c r="A12" s="2"/>
      <c r="B12" s="1" t="s">
        <v>47</v>
      </c>
      <c r="C12" s="2" t="s">
        <v>144</v>
      </c>
      <c r="D12" s="2" t="s">
        <v>516</v>
      </c>
      <c r="E12" s="2" t="s">
        <v>618</v>
      </c>
      <c r="F12" s="2">
        <v>20</v>
      </c>
      <c r="G12" s="2"/>
      <c r="I12" s="1" t="str">
        <f t="shared" si="0"/>
        <v>RECIPE_VER</v>
      </c>
      <c r="J12" s="1" t="str">
        <f t="shared" si="1"/>
        <v>NVARCHAR2</v>
      </c>
      <c r="K12" s="1" t="str">
        <f t="shared" si="2"/>
        <v>(</v>
      </c>
      <c r="L12" s="1">
        <f t="shared" si="3"/>
        <v>20</v>
      </c>
      <c r="M12" s="1" t="str">
        <f t="shared" si="4"/>
        <v>)</v>
      </c>
      <c r="N12" s="1" t="str">
        <f t="shared" si="5"/>
        <v>NULL</v>
      </c>
      <c r="O12" s="1" t="s">
        <v>113</v>
      </c>
      <c r="Q12" s="1" t="e">
        <f>"EXEC SP_ADDEXTENDEDPROPERTY 'MS_Description', '"&amp;D12&amp;"', 'USER', dbo, 'TABLE', '"&amp;#REF!&amp;"', 'COLUMN', '"&amp;C12&amp;"'"</f>
        <v>#REF!</v>
      </c>
    </row>
    <row r="13" spans="1:17" s="1" customFormat="1" x14ac:dyDescent="0.3">
      <c r="A13" s="2"/>
      <c r="B13" s="2" t="s">
        <v>355</v>
      </c>
      <c r="C13" s="2" t="s">
        <v>485</v>
      </c>
      <c r="D13" s="2" t="s">
        <v>355</v>
      </c>
      <c r="E13" s="2" t="s">
        <v>618</v>
      </c>
      <c r="F13" s="2">
        <v>20</v>
      </c>
      <c r="G13" s="2"/>
      <c r="I13" s="1" t="str">
        <f t="shared" si="0"/>
        <v>IN_BIN_CODE</v>
      </c>
      <c r="J13" s="1" t="str">
        <f t="shared" si="1"/>
        <v>NVARCHAR2</v>
      </c>
      <c r="K13" s="1" t="str">
        <f t="shared" si="2"/>
        <v>(</v>
      </c>
      <c r="L13" s="1">
        <f t="shared" si="3"/>
        <v>20</v>
      </c>
      <c r="M13" s="1" t="str">
        <f t="shared" si="4"/>
        <v>)</v>
      </c>
      <c r="N13" s="1" t="str">
        <f t="shared" si="5"/>
        <v>NULL</v>
      </c>
      <c r="O13" s="1" t="s">
        <v>113</v>
      </c>
      <c r="Q13" s="1" t="e">
        <f>"EXEC SP_ADDEXTENDEDPROPERTY 'MS_Description', '"&amp;D13&amp;"', 'USER', dbo, 'TABLE', '"&amp;#REF!&amp;"', 'COLUMN', '"&amp;C13&amp;"'"</f>
        <v>#REF!</v>
      </c>
    </row>
    <row r="14" spans="1:17" s="1" customFormat="1" x14ac:dyDescent="0.3">
      <c r="A14" s="2"/>
      <c r="B14" s="2" t="s">
        <v>347</v>
      </c>
      <c r="C14" s="2" t="s">
        <v>395</v>
      </c>
      <c r="D14" s="2" t="s">
        <v>347</v>
      </c>
      <c r="E14" s="2" t="s">
        <v>618</v>
      </c>
      <c r="F14" s="2">
        <v>20</v>
      </c>
      <c r="G14" s="2"/>
      <c r="I14" s="1" t="str">
        <f t="shared" si="0"/>
        <v>ICM_CODE</v>
      </c>
      <c r="J14" s="1" t="str">
        <f t="shared" si="1"/>
        <v>NVARCHAR2</v>
      </c>
      <c r="K14" s="1" t="str">
        <f t="shared" si="2"/>
        <v>(</v>
      </c>
      <c r="L14" s="1">
        <f t="shared" si="3"/>
        <v>20</v>
      </c>
      <c r="M14" s="1" t="str">
        <f t="shared" si="4"/>
        <v>)</v>
      </c>
      <c r="N14" s="1" t="str">
        <f t="shared" si="5"/>
        <v>NULL</v>
      </c>
      <c r="O14" s="1" t="s">
        <v>113</v>
      </c>
      <c r="Q14" s="1" t="e">
        <f>"EXEC SP_ADDEXTENDEDPROPERTY 'MS_Description', '"&amp;D14&amp;"', 'USER', dbo, 'TABLE', '"&amp;#REF!&amp;"', 'COLUMN', '"&amp;C14&amp;"'"</f>
        <v>#REF!</v>
      </c>
    </row>
    <row r="15" spans="1:17" s="1" customFormat="1" x14ac:dyDescent="0.3">
      <c r="A15" s="2"/>
      <c r="B15" s="2" t="s">
        <v>417</v>
      </c>
      <c r="C15" s="2" t="s">
        <v>301</v>
      </c>
      <c r="D15" s="2" t="s">
        <v>417</v>
      </c>
      <c r="E15" s="2" t="s">
        <v>545</v>
      </c>
      <c r="F15" s="2" t="s">
        <v>0</v>
      </c>
      <c r="G15" s="2"/>
      <c r="I15" s="1" t="str">
        <f t="shared" si="0"/>
        <v>ORDER_QTY</v>
      </c>
      <c r="J15" s="1" t="str">
        <f t="shared" si="1"/>
        <v>NUMBER</v>
      </c>
      <c r="K15" s="1" t="str">
        <f t="shared" si="2"/>
        <v>(</v>
      </c>
      <c r="L15" s="1" t="str">
        <f t="shared" si="3"/>
        <v>5,0</v>
      </c>
      <c r="M15" s="1" t="str">
        <f t="shared" si="4"/>
        <v>)</v>
      </c>
      <c r="N15" s="1" t="str">
        <f t="shared" si="5"/>
        <v>NULL</v>
      </c>
      <c r="O15" s="1" t="s">
        <v>113</v>
      </c>
      <c r="Q15" s="1" t="e">
        <f>"EXEC SP_ADDEXTENDEDPROPERTY 'MS_Description', '"&amp;D15&amp;"', 'USER', dbo, 'TABLE', '"&amp;#REF!&amp;"', 'COLUMN', '"&amp;C15&amp;"'"</f>
        <v>#REF!</v>
      </c>
    </row>
    <row r="16" spans="1:17" s="1" customFormat="1" x14ac:dyDescent="0.3">
      <c r="A16" s="2"/>
      <c r="B16" s="2" t="s">
        <v>394</v>
      </c>
      <c r="C16" s="2" t="s">
        <v>323</v>
      </c>
      <c r="D16" s="2" t="s">
        <v>394</v>
      </c>
      <c r="E16" s="2" t="s">
        <v>545</v>
      </c>
      <c r="F16" s="2" t="s">
        <v>383</v>
      </c>
      <c r="G16" s="2"/>
      <c r="I16" s="1" t="str">
        <f t="shared" si="0"/>
        <v>MIX_QTY</v>
      </c>
      <c r="J16" s="1" t="str">
        <f t="shared" si="1"/>
        <v>NUMBER</v>
      </c>
      <c r="K16" s="1" t="str">
        <f t="shared" si="2"/>
        <v>(</v>
      </c>
      <c r="L16" s="1" t="str">
        <f t="shared" si="3"/>
        <v>5,1</v>
      </c>
      <c r="M16" s="1" t="str">
        <f t="shared" si="4"/>
        <v>)</v>
      </c>
      <c r="N16" s="1" t="str">
        <f t="shared" si="5"/>
        <v>NULL</v>
      </c>
      <c r="O16" s="1" t="s">
        <v>113</v>
      </c>
      <c r="Q16" s="1" t="e">
        <f>"EXEC SP_ADDEXTENDEDPROPERTY 'MS_Description', '"&amp;D16&amp;"', 'USER', dbo, 'TABLE', '"&amp;#REF!&amp;"', 'COLUMN', '"&amp;C16&amp;"'"</f>
        <v>#REF!</v>
      </c>
    </row>
    <row r="17" spans="1:17" s="1" customFormat="1" x14ac:dyDescent="0.3">
      <c r="A17" s="2"/>
      <c r="B17" s="2" t="s">
        <v>373</v>
      </c>
      <c r="C17" s="2" t="s">
        <v>60</v>
      </c>
      <c r="D17" s="2" t="s">
        <v>373</v>
      </c>
      <c r="E17" s="2" t="s">
        <v>545</v>
      </c>
      <c r="F17" s="2" t="s">
        <v>0</v>
      </c>
      <c r="G17" s="2"/>
      <c r="I17" s="1" t="str">
        <f t="shared" si="0"/>
        <v>EXPECT_QTY</v>
      </c>
      <c r="J17" s="1" t="str">
        <f t="shared" si="1"/>
        <v>NUMBER</v>
      </c>
      <c r="K17" s="1" t="str">
        <f t="shared" si="2"/>
        <v>(</v>
      </c>
      <c r="L17" s="1" t="str">
        <f t="shared" si="3"/>
        <v>5,0</v>
      </c>
      <c r="M17" s="1" t="str">
        <f t="shared" si="4"/>
        <v>)</v>
      </c>
      <c r="N17" s="1" t="str">
        <f t="shared" si="5"/>
        <v>NULL</v>
      </c>
      <c r="O17" s="1" t="s">
        <v>113</v>
      </c>
      <c r="Q17" s="1" t="e">
        <f>"EXEC SP_ADDEXTENDEDPROPERTY 'MS_Description', '"&amp;D17&amp;"', 'USER', dbo, 'TABLE', '"&amp;#REF!&amp;"', 'COLUMN', '"&amp;C17&amp;"'"</f>
        <v>#REF!</v>
      </c>
    </row>
    <row r="18" spans="1:17" s="1" customFormat="1" x14ac:dyDescent="0.3">
      <c r="A18" s="2"/>
      <c r="B18" s="2" t="s">
        <v>329</v>
      </c>
      <c r="C18" s="2" t="s">
        <v>304</v>
      </c>
      <c r="D18" s="2" t="s">
        <v>329</v>
      </c>
      <c r="E18" s="2" t="s">
        <v>228</v>
      </c>
      <c r="F18" s="2" t="s">
        <v>0</v>
      </c>
      <c r="G18" s="2"/>
      <c r="I18" s="1" t="str">
        <f t="shared" si="0"/>
        <v>START_TIME</v>
      </c>
      <c r="J18" s="1" t="str">
        <f t="shared" si="1"/>
        <v>DATE</v>
      </c>
      <c r="K18" s="1" t="str">
        <f t="shared" si="2"/>
        <v>(</v>
      </c>
      <c r="L18" s="1" t="str">
        <f t="shared" si="3"/>
        <v>5,0</v>
      </c>
      <c r="M18" s="1" t="str">
        <f t="shared" si="4"/>
        <v>)</v>
      </c>
      <c r="N18" s="1" t="str">
        <f t="shared" si="5"/>
        <v>NULL</v>
      </c>
      <c r="O18" s="1" t="s">
        <v>113</v>
      </c>
      <c r="Q18" s="1" t="e">
        <f>"EXEC SP_ADDEXTENDEDPROPERTY 'MS_Description', '"&amp;D18&amp;"', 'USER', dbo, 'TABLE', '"&amp;#REF!&amp;"', 'COLUMN', '"&amp;C18&amp;"'"</f>
        <v>#REF!</v>
      </c>
    </row>
    <row r="19" spans="1:17" s="1" customFormat="1" x14ac:dyDescent="0.3">
      <c r="A19" s="2"/>
      <c r="B19" s="2" t="s">
        <v>371</v>
      </c>
      <c r="C19" s="2" t="s">
        <v>300</v>
      </c>
      <c r="D19" s="2" t="s">
        <v>371</v>
      </c>
      <c r="E19" s="2" t="s">
        <v>228</v>
      </c>
      <c r="F19" s="2" t="s">
        <v>0</v>
      </c>
      <c r="G19" s="2"/>
      <c r="I19" s="1" t="str">
        <f t="shared" si="0"/>
        <v>END_TIME</v>
      </c>
      <c r="J19" s="1" t="str">
        <f t="shared" si="1"/>
        <v>DATE</v>
      </c>
      <c r="K19" s="1" t="str">
        <f t="shared" si="2"/>
        <v>(</v>
      </c>
      <c r="L19" s="1" t="str">
        <f t="shared" si="3"/>
        <v>5,0</v>
      </c>
      <c r="M19" s="1" t="str">
        <f t="shared" si="4"/>
        <v>)</v>
      </c>
      <c r="N19" s="1" t="str">
        <f t="shared" si="5"/>
        <v>NULL</v>
      </c>
      <c r="O19" s="1" t="s">
        <v>113</v>
      </c>
      <c r="Q19" s="1" t="e">
        <f>"EXEC SP_ADDEXTENDEDPROPERTY 'MS_Description', '"&amp;D19&amp;"', 'USER', dbo, 'TABLE', '"&amp;#REF!&amp;"', 'COLUMN', '"&amp;C19&amp;"'"</f>
        <v>#REF!</v>
      </c>
    </row>
    <row r="20" spans="1:17" s="1" customFormat="1" x14ac:dyDescent="0.3">
      <c r="A20" s="2"/>
      <c r="B20" s="2" t="s">
        <v>474</v>
      </c>
      <c r="C20" s="2" t="s">
        <v>56</v>
      </c>
      <c r="D20" s="2" t="s">
        <v>474</v>
      </c>
      <c r="E20" s="2" t="s">
        <v>545</v>
      </c>
      <c r="F20" s="2" t="s">
        <v>0</v>
      </c>
      <c r="G20" s="2"/>
      <c r="I20" s="1" t="str">
        <f t="shared" si="0"/>
        <v>PROD_QTY</v>
      </c>
      <c r="J20" s="1" t="str">
        <f t="shared" si="1"/>
        <v>NUMBER</v>
      </c>
      <c r="K20" s="1" t="str">
        <f t="shared" si="2"/>
        <v>(</v>
      </c>
      <c r="L20" s="1" t="str">
        <f t="shared" si="3"/>
        <v>5,0</v>
      </c>
      <c r="M20" s="1" t="str">
        <f t="shared" si="4"/>
        <v>)</v>
      </c>
      <c r="N20" s="1" t="str">
        <f t="shared" si="5"/>
        <v>NULL</v>
      </c>
      <c r="O20" s="1" t="s">
        <v>113</v>
      </c>
      <c r="Q20" s="1" t="e">
        <f>"EXEC SP_ADDEXTENDEDPROPERTY 'MS_Description', '"&amp;D20&amp;"', 'USER', dbo, 'TABLE', '"&amp;#REF!&amp;"', 'COLUMN', '"&amp;C20&amp;"'"</f>
        <v>#REF!</v>
      </c>
    </row>
    <row r="21" spans="1:17" s="1" customFormat="1" x14ac:dyDescent="0.3">
      <c r="A21" s="2"/>
      <c r="B21" s="2" t="s">
        <v>13</v>
      </c>
      <c r="C21" s="2" t="s">
        <v>448</v>
      </c>
      <c r="D21" s="2" t="s">
        <v>13</v>
      </c>
      <c r="E21" s="2" t="s">
        <v>545</v>
      </c>
      <c r="F21" s="2" t="s">
        <v>0</v>
      </c>
      <c r="G21" s="2"/>
      <c r="I21" s="1" t="str">
        <f t="shared" si="0"/>
        <v>OUT_QTY</v>
      </c>
      <c r="J21" s="1" t="str">
        <f t="shared" si="1"/>
        <v>NUMBER</v>
      </c>
      <c r="K21" s="1" t="str">
        <f t="shared" si="2"/>
        <v>(</v>
      </c>
      <c r="L21" s="1" t="str">
        <f t="shared" si="3"/>
        <v>5,0</v>
      </c>
      <c r="M21" s="1" t="str">
        <f t="shared" si="4"/>
        <v>)</v>
      </c>
      <c r="N21" s="1" t="str">
        <f t="shared" si="5"/>
        <v>NULL</v>
      </c>
      <c r="O21" s="1" t="s">
        <v>113</v>
      </c>
      <c r="Q21" s="1" t="e">
        <f>"EXEC SP_ADDEXTENDEDPROPERTY 'MS_Description', '"&amp;D21&amp;"', 'USER', dbo, 'TABLE', '"&amp;#REF!&amp;"', 'COLUMN', '"&amp;C21&amp;"'"</f>
        <v>#REF!</v>
      </c>
    </row>
    <row r="22" spans="1:17" s="1" customFormat="1" x14ac:dyDescent="0.3">
      <c r="A22" s="2"/>
      <c r="B22" s="2" t="s">
        <v>404</v>
      </c>
      <c r="C22" s="2" t="s">
        <v>270</v>
      </c>
      <c r="D22" s="2" t="s">
        <v>404</v>
      </c>
      <c r="E22" s="2" t="s">
        <v>545</v>
      </c>
      <c r="F22" s="2" t="s">
        <v>0</v>
      </c>
      <c r="G22" s="2"/>
      <c r="I22" s="1" t="str">
        <f t="shared" si="0"/>
        <v>FIRST_QTY</v>
      </c>
      <c r="J22" s="1" t="str">
        <f t="shared" si="1"/>
        <v>NUMBER</v>
      </c>
      <c r="K22" s="1" t="str">
        <f t="shared" si="2"/>
        <v>(</v>
      </c>
      <c r="L22" s="1" t="str">
        <f t="shared" si="3"/>
        <v>5,0</v>
      </c>
      <c r="M22" s="1" t="str">
        <f t="shared" si="4"/>
        <v>)</v>
      </c>
      <c r="N22" s="1" t="str">
        <f t="shared" si="5"/>
        <v>NULL</v>
      </c>
      <c r="O22" s="1" t="s">
        <v>113</v>
      </c>
      <c r="Q22" s="1" t="e">
        <f>"EXEC SP_ADDEXTENDEDPROPERTY 'MS_Description', '"&amp;D22&amp;"', 'USER', dbo, 'TABLE', '"&amp;#REF!&amp;"', 'COLUMN', '"&amp;C22&amp;"'"</f>
        <v>#REF!</v>
      </c>
    </row>
    <row r="23" spans="1:17" s="1" customFormat="1" x14ac:dyDescent="0.3">
      <c r="A23" s="2"/>
      <c r="B23" s="2" t="s">
        <v>405</v>
      </c>
      <c r="C23" s="2" t="s">
        <v>350</v>
      </c>
      <c r="D23" s="2" t="s">
        <v>405</v>
      </c>
      <c r="E23" s="2" t="s">
        <v>545</v>
      </c>
      <c r="F23" s="2" t="s">
        <v>0</v>
      </c>
      <c r="G23" s="2"/>
      <c r="I23" s="1" t="str">
        <f t="shared" si="0"/>
        <v>END_QTY</v>
      </c>
      <c r="J23" s="1" t="str">
        <f t="shared" si="1"/>
        <v>NUMBER</v>
      </c>
      <c r="K23" s="1" t="str">
        <f t="shared" si="2"/>
        <v>(</v>
      </c>
      <c r="L23" s="1" t="str">
        <f t="shared" si="3"/>
        <v>5,0</v>
      </c>
      <c r="M23" s="1" t="str">
        <f t="shared" si="4"/>
        <v>)</v>
      </c>
      <c r="N23" s="1" t="str">
        <f t="shared" si="5"/>
        <v>NULL</v>
      </c>
      <c r="O23" s="1" t="s">
        <v>113</v>
      </c>
      <c r="Q23" s="1" t="e">
        <f>"EXEC SP_ADDEXTENDEDPROPERTY 'MS_Description', '"&amp;D23&amp;"', 'USER', dbo, 'TABLE', '"&amp;#REF!&amp;"', 'COLUMN', '"&amp;C23&amp;"'"</f>
        <v>#REF!</v>
      </c>
    </row>
    <row r="24" spans="1:17" s="1" customFormat="1" x14ac:dyDescent="0.3">
      <c r="A24" s="2"/>
      <c r="B24" s="2" t="s">
        <v>390</v>
      </c>
      <c r="C24" s="2" t="s">
        <v>349</v>
      </c>
      <c r="D24" s="2" t="s">
        <v>390</v>
      </c>
      <c r="E24" s="2" t="s">
        <v>545</v>
      </c>
      <c r="F24" s="2" t="s">
        <v>0</v>
      </c>
      <c r="G24" s="2"/>
      <c r="I24" s="1" t="str">
        <f t="shared" si="0"/>
        <v>ETC_QTY</v>
      </c>
      <c r="J24" s="1" t="str">
        <f t="shared" si="1"/>
        <v>NUMBER</v>
      </c>
      <c r="K24" s="1" t="str">
        <f t="shared" si="2"/>
        <v>(</v>
      </c>
      <c r="L24" s="1" t="str">
        <f t="shared" si="3"/>
        <v>5,0</v>
      </c>
      <c r="M24" s="1" t="str">
        <f t="shared" si="4"/>
        <v>)</v>
      </c>
      <c r="N24" s="1" t="str">
        <f t="shared" si="5"/>
        <v>NULL</v>
      </c>
      <c r="O24" s="1" t="s">
        <v>113</v>
      </c>
      <c r="Q24" s="1" t="e">
        <f>"EXEC SP_ADDEXTENDEDPROPERTY 'MS_Description', '"&amp;D24&amp;"', 'USER', dbo, 'TABLE', '"&amp;#REF!&amp;"', 'COLUMN', '"&amp;C24&amp;"'"</f>
        <v>#REF!</v>
      </c>
    </row>
    <row r="25" spans="1:17" s="1" customFormat="1" x14ac:dyDescent="0.3">
      <c r="A25" s="2"/>
      <c r="B25" s="2" t="s">
        <v>447</v>
      </c>
      <c r="C25" s="2" t="s">
        <v>61</v>
      </c>
      <c r="D25" s="2" t="s">
        <v>447</v>
      </c>
      <c r="E25" s="2" t="s">
        <v>545</v>
      </c>
      <c r="F25" s="2" t="s">
        <v>0</v>
      </c>
      <c r="G25" s="2"/>
      <c r="I25" s="1" t="str">
        <f t="shared" si="0"/>
        <v>USE_ETC_QTY</v>
      </c>
      <c r="J25" s="1" t="str">
        <f t="shared" si="1"/>
        <v>NUMBER</v>
      </c>
      <c r="K25" s="1" t="str">
        <f t="shared" si="2"/>
        <v>(</v>
      </c>
      <c r="L25" s="1" t="str">
        <f t="shared" si="3"/>
        <v>5,0</v>
      </c>
      <c r="M25" s="1" t="str">
        <f t="shared" si="4"/>
        <v>)</v>
      </c>
      <c r="N25" s="1" t="str">
        <f t="shared" si="5"/>
        <v>NULL</v>
      </c>
      <c r="O25" s="1" t="s">
        <v>113</v>
      </c>
      <c r="Q25" s="1" t="e">
        <f>"EXEC SP_ADDEXTENDEDPROPERTY 'MS_Description', '"&amp;D25&amp;"', 'USER', dbo, 'TABLE', '"&amp;#REF!&amp;"', 'COLUMN', '"&amp;C25&amp;"'"</f>
        <v>#REF!</v>
      </c>
    </row>
    <row r="26" spans="1:17" s="1" customFormat="1" x14ac:dyDescent="0.3">
      <c r="A26" s="2"/>
      <c r="B26" s="2" t="s">
        <v>398</v>
      </c>
      <c r="C26" s="2" t="s">
        <v>450</v>
      </c>
      <c r="D26" s="2" t="s">
        <v>398</v>
      </c>
      <c r="E26" s="2" t="s">
        <v>618</v>
      </c>
      <c r="F26" s="2">
        <v>20</v>
      </c>
      <c r="G26" s="2"/>
      <c r="I26" s="1" t="str">
        <f t="shared" si="0"/>
        <v>DIFF</v>
      </c>
      <c r="J26" s="1" t="str">
        <f t="shared" si="1"/>
        <v>NVARCHAR2</v>
      </c>
      <c r="K26" s="1" t="str">
        <f t="shared" si="2"/>
        <v>(</v>
      </c>
      <c r="L26" s="1">
        <f t="shared" si="3"/>
        <v>20</v>
      </c>
      <c r="M26" s="1" t="str">
        <f t="shared" si="4"/>
        <v>)</v>
      </c>
      <c r="N26" s="1" t="str">
        <f t="shared" si="5"/>
        <v>NULL</v>
      </c>
      <c r="O26" s="1" t="s">
        <v>113</v>
      </c>
      <c r="Q26" s="1" t="e">
        <f>"EXEC SP_ADDEXTENDEDPROPERTY 'MS_Description', '"&amp;D26&amp;"', 'USER', dbo, 'TABLE', '"&amp;#REF!&amp;"', 'COLUMN', '"&amp;C26&amp;"'"</f>
        <v>#REF!</v>
      </c>
    </row>
    <row r="27" spans="1:17" s="1" customFormat="1" x14ac:dyDescent="0.3">
      <c r="A27" s="2"/>
      <c r="B27" s="2" t="s">
        <v>475</v>
      </c>
      <c r="C27" s="2" t="s">
        <v>62</v>
      </c>
      <c r="D27" s="2" t="s">
        <v>475</v>
      </c>
      <c r="E27" s="2" t="s">
        <v>618</v>
      </c>
      <c r="F27" s="2">
        <v>1</v>
      </c>
      <c r="G27" s="2"/>
      <c r="I27" s="1" t="str">
        <f t="shared" si="0"/>
        <v>SAMPLE_CHK</v>
      </c>
      <c r="J27" s="1" t="str">
        <f t="shared" si="1"/>
        <v>NVARCHAR2</v>
      </c>
      <c r="K27" s="1" t="str">
        <f t="shared" si="2"/>
        <v>(</v>
      </c>
      <c r="L27" s="1">
        <f t="shared" si="3"/>
        <v>1</v>
      </c>
      <c r="M27" s="1" t="str">
        <f t="shared" si="4"/>
        <v>)</v>
      </c>
      <c r="N27" s="1" t="str">
        <f t="shared" si="5"/>
        <v>NULL</v>
      </c>
      <c r="O27" s="1" t="s">
        <v>113</v>
      </c>
      <c r="Q27" s="1" t="e">
        <f>"EXEC SP_ADDEXTENDEDPROPERTY 'MS_Description', '"&amp;D27&amp;"', 'USER', dbo, 'TABLE', '"&amp;#REF!&amp;"', 'COLUMN', '"&amp;C27&amp;"'"</f>
        <v>#REF!</v>
      </c>
    </row>
    <row r="28" spans="1:17" s="1" customFormat="1" x14ac:dyDescent="0.3">
      <c r="A28" s="2"/>
      <c r="B28" s="2" t="s">
        <v>384</v>
      </c>
      <c r="C28" s="2" t="s">
        <v>63</v>
      </c>
      <c r="D28" s="2" t="s">
        <v>384</v>
      </c>
      <c r="E28" s="2" t="s">
        <v>545</v>
      </c>
      <c r="F28" s="2" t="s">
        <v>0</v>
      </c>
      <c r="G28" s="2"/>
      <c r="I28" s="1" t="str">
        <f t="shared" si="0"/>
        <v>DAN_QTY1</v>
      </c>
      <c r="J28" s="1" t="str">
        <f t="shared" si="1"/>
        <v>NUMBER</v>
      </c>
      <c r="K28" s="1" t="str">
        <f t="shared" si="2"/>
        <v>(</v>
      </c>
      <c r="L28" s="1" t="str">
        <f t="shared" si="3"/>
        <v>5,0</v>
      </c>
      <c r="M28" s="1" t="str">
        <f t="shared" si="4"/>
        <v>)</v>
      </c>
      <c r="N28" s="1" t="str">
        <f t="shared" si="5"/>
        <v>NULL</v>
      </c>
      <c r="O28" s="1" t="s">
        <v>113</v>
      </c>
      <c r="Q28" s="1" t="e">
        <f>"EXEC SP_ADDEXTENDEDPROPERTY 'MS_Description', '"&amp;D28&amp;"', 'USER', dbo, 'TABLE', '"&amp;#REF!&amp;"', 'COLUMN', '"&amp;C28&amp;"'"</f>
        <v>#REF!</v>
      </c>
    </row>
    <row r="29" spans="1:17" s="1" customFormat="1" x14ac:dyDescent="0.3">
      <c r="A29" s="2"/>
      <c r="B29" s="2" t="s">
        <v>308</v>
      </c>
      <c r="C29" s="2" t="s">
        <v>271</v>
      </c>
      <c r="D29" s="2" t="s">
        <v>308</v>
      </c>
      <c r="E29" s="2" t="s">
        <v>545</v>
      </c>
      <c r="F29" s="2" t="s">
        <v>0</v>
      </c>
      <c r="G29" s="2"/>
      <c r="I29" s="1" t="str">
        <f t="shared" si="0"/>
        <v>DAN_QTY2</v>
      </c>
      <c r="J29" s="1" t="str">
        <f t="shared" si="1"/>
        <v>NUMBER</v>
      </c>
      <c r="K29" s="1" t="str">
        <f t="shared" si="2"/>
        <v>(</v>
      </c>
      <c r="L29" s="1" t="str">
        <f t="shared" si="3"/>
        <v>5,0</v>
      </c>
      <c r="M29" s="1" t="str">
        <f t="shared" si="4"/>
        <v>)</v>
      </c>
      <c r="N29" s="1" t="str">
        <f t="shared" si="5"/>
        <v>NULL</v>
      </c>
      <c r="O29" s="1" t="s">
        <v>113</v>
      </c>
      <c r="Q29" s="1" t="e">
        <f>"EXEC SP_ADDEXTENDEDPROPERTY 'MS_Description', '"&amp;D29&amp;"', 'USER', dbo, 'TABLE', '"&amp;#REF!&amp;"', 'COLUMN', '"&amp;C29&amp;"'"</f>
        <v>#REF!</v>
      </c>
    </row>
    <row r="30" spans="1:17" s="1" customFormat="1" x14ac:dyDescent="0.3">
      <c r="A30" s="2"/>
      <c r="B30" s="2" t="s">
        <v>310</v>
      </c>
      <c r="C30" s="2" t="s">
        <v>273</v>
      </c>
      <c r="D30" s="2" t="s">
        <v>310</v>
      </c>
      <c r="E30" s="2" t="s">
        <v>545</v>
      </c>
      <c r="F30" s="2" t="s">
        <v>0</v>
      </c>
      <c r="G30" s="2"/>
      <c r="I30" s="1" t="str">
        <f t="shared" si="0"/>
        <v>DAN_QTY3</v>
      </c>
      <c r="J30" s="1" t="str">
        <f t="shared" si="1"/>
        <v>NUMBER</v>
      </c>
      <c r="K30" s="1" t="str">
        <f t="shared" si="2"/>
        <v>(</v>
      </c>
      <c r="L30" s="1" t="str">
        <f t="shared" si="3"/>
        <v>5,0</v>
      </c>
      <c r="M30" s="1" t="str">
        <f t="shared" si="4"/>
        <v>)</v>
      </c>
      <c r="N30" s="1" t="str">
        <f t="shared" si="5"/>
        <v>NULL</v>
      </c>
      <c r="O30" s="1" t="s">
        <v>113</v>
      </c>
      <c r="Q30" s="1" t="e">
        <f>"EXEC SP_ADDEXTENDEDPROPERTY 'MS_Description', '"&amp;D30&amp;"', 'USER', dbo, 'TABLE', '"&amp;#REF!&amp;"', 'COLUMN', '"&amp;C30&amp;"'"</f>
        <v>#REF!</v>
      </c>
    </row>
    <row r="31" spans="1:17" s="1" customFormat="1" x14ac:dyDescent="0.3">
      <c r="A31" s="2"/>
      <c r="B31" s="2" t="s">
        <v>428</v>
      </c>
      <c r="C31" s="2" t="s">
        <v>315</v>
      </c>
      <c r="D31" s="2" t="s">
        <v>428</v>
      </c>
      <c r="E31" s="2" t="s">
        <v>618</v>
      </c>
      <c r="F31" s="2">
        <v>20</v>
      </c>
      <c r="G31" s="2"/>
      <c r="I31" s="1" t="str">
        <f t="shared" si="0"/>
        <v>WORKER</v>
      </c>
      <c r="J31" s="1" t="str">
        <f t="shared" si="1"/>
        <v>NVARCHAR2</v>
      </c>
      <c r="K31" s="1" t="str">
        <f t="shared" si="2"/>
        <v>(</v>
      </c>
      <c r="L31" s="1">
        <f t="shared" si="3"/>
        <v>20</v>
      </c>
      <c r="M31" s="1" t="str">
        <f t="shared" si="4"/>
        <v>)</v>
      </c>
      <c r="N31" s="1" t="str">
        <f t="shared" si="5"/>
        <v>NULL</v>
      </c>
      <c r="O31" s="1" t="s">
        <v>113</v>
      </c>
      <c r="Q31" s="1" t="e">
        <f>"EXEC SP_ADDEXTENDEDPROPERTY 'MS_Description', '"&amp;D31&amp;"', 'USER', dbo, 'TABLE', '"&amp;#REF!&amp;"', 'COLUMN', '"&amp;C31&amp;"'"</f>
        <v>#REF!</v>
      </c>
    </row>
    <row r="32" spans="1:17" s="1" customFormat="1" x14ac:dyDescent="0.3">
      <c r="A32" s="2"/>
      <c r="B32" s="2" t="s">
        <v>36</v>
      </c>
      <c r="C32" s="2" t="s">
        <v>302</v>
      </c>
      <c r="D32" s="2" t="s">
        <v>36</v>
      </c>
      <c r="E32" s="2" t="s">
        <v>618</v>
      </c>
      <c r="F32" s="2">
        <v>10</v>
      </c>
      <c r="G32" s="2"/>
      <c r="I32" s="1" t="str">
        <f t="shared" si="0"/>
        <v>WORK_STATE</v>
      </c>
      <c r="J32" s="1" t="str">
        <f t="shared" si="1"/>
        <v>NVARCHAR2</v>
      </c>
      <c r="K32" s="1" t="str">
        <f t="shared" si="2"/>
        <v>(</v>
      </c>
      <c r="L32" s="1">
        <f t="shared" si="3"/>
        <v>10</v>
      </c>
      <c r="M32" s="1" t="str">
        <f t="shared" si="4"/>
        <v>)</v>
      </c>
      <c r="N32" s="1" t="str">
        <f t="shared" si="5"/>
        <v>NULL</v>
      </c>
      <c r="O32" s="1" t="s">
        <v>113</v>
      </c>
      <c r="Q32" s="1" t="e">
        <f>"EXEC SP_ADDEXTENDEDPROPERTY 'MS_Description', '"&amp;D32&amp;"', 'USER', dbo, 'TABLE', '"&amp;#REF!&amp;"', 'COLUMN', '"&amp;C32&amp;"'"</f>
        <v>#REF!</v>
      </c>
    </row>
    <row r="33" spans="1:17" s="1" customFormat="1" x14ac:dyDescent="0.3">
      <c r="A33" s="2"/>
      <c r="B33" s="2" t="s">
        <v>381</v>
      </c>
      <c r="C33" s="2" t="s">
        <v>458</v>
      </c>
      <c r="D33" s="2" t="s">
        <v>381</v>
      </c>
      <c r="E33" s="2" t="s">
        <v>618</v>
      </c>
      <c r="F33" s="2">
        <v>10</v>
      </c>
      <c r="G33" s="2"/>
      <c r="I33" s="1" t="str">
        <f t="shared" si="0"/>
        <v>BAD_CODE1</v>
      </c>
      <c r="J33" s="1" t="str">
        <f t="shared" si="1"/>
        <v>NVARCHAR2</v>
      </c>
      <c r="K33" s="1" t="str">
        <f t="shared" si="2"/>
        <v>(</v>
      </c>
      <c r="L33" s="1">
        <f t="shared" si="3"/>
        <v>10</v>
      </c>
      <c r="M33" s="1" t="str">
        <f t="shared" si="4"/>
        <v>)</v>
      </c>
      <c r="N33" s="1" t="str">
        <f t="shared" si="5"/>
        <v>NULL</v>
      </c>
      <c r="O33" s="1" t="s">
        <v>113</v>
      </c>
      <c r="Q33" s="1" t="e">
        <f>"EXEC SP_ADDEXTENDEDPROPERTY 'MS_Description', '"&amp;D33&amp;"', 'USER', dbo, 'TABLE', '"&amp;#REF!&amp;"', 'COLUMN', '"&amp;C33&amp;"'"</f>
        <v>#REF!</v>
      </c>
    </row>
    <row r="34" spans="1:17" s="1" customFormat="1" x14ac:dyDescent="0.3">
      <c r="A34" s="2"/>
      <c r="B34" s="2" t="s">
        <v>330</v>
      </c>
      <c r="C34" s="2" t="s">
        <v>460</v>
      </c>
      <c r="D34" s="2" t="s">
        <v>330</v>
      </c>
      <c r="E34" s="2" t="s">
        <v>545</v>
      </c>
      <c r="F34" s="2" t="s">
        <v>481</v>
      </c>
      <c r="G34" s="2"/>
      <c r="I34" s="1" t="str">
        <f t="shared" si="0"/>
        <v>BAD_QTY1</v>
      </c>
      <c r="J34" s="1" t="str">
        <f t="shared" si="1"/>
        <v>NUMBER</v>
      </c>
      <c r="K34" s="1" t="str">
        <f t="shared" si="2"/>
        <v>(</v>
      </c>
      <c r="L34" s="1" t="str">
        <f t="shared" si="3"/>
        <v>18,0</v>
      </c>
      <c r="M34" s="1" t="str">
        <f t="shared" si="4"/>
        <v>)</v>
      </c>
      <c r="N34" s="1" t="str">
        <f t="shared" si="5"/>
        <v>NULL</v>
      </c>
      <c r="O34" s="1" t="s">
        <v>113</v>
      </c>
      <c r="Q34" s="1" t="e">
        <f>"EXEC SP_ADDEXTENDEDPROPERTY 'MS_Description', '"&amp;D34&amp;"', 'USER', dbo, 'TABLE', '"&amp;#REF!&amp;"', 'COLUMN', '"&amp;C34&amp;"'"</f>
        <v>#REF!</v>
      </c>
    </row>
    <row r="35" spans="1:17" s="1" customFormat="1" x14ac:dyDescent="0.3">
      <c r="A35" s="2"/>
      <c r="B35" s="2" t="s">
        <v>402</v>
      </c>
      <c r="C35" s="2" t="s">
        <v>459</v>
      </c>
      <c r="D35" s="2" t="s">
        <v>402</v>
      </c>
      <c r="E35" s="2" t="s">
        <v>618</v>
      </c>
      <c r="F35" s="2">
        <v>10</v>
      </c>
      <c r="G35" s="2"/>
      <c r="I35" s="1" t="str">
        <f t="shared" si="0"/>
        <v>BAD_CODE2</v>
      </c>
      <c r="J35" s="1" t="str">
        <f t="shared" si="1"/>
        <v>NVARCHAR2</v>
      </c>
      <c r="K35" s="1" t="str">
        <f t="shared" si="2"/>
        <v>(</v>
      </c>
      <c r="L35" s="1">
        <f t="shared" si="3"/>
        <v>10</v>
      </c>
      <c r="M35" s="1" t="str">
        <f t="shared" si="4"/>
        <v>)</v>
      </c>
      <c r="N35" s="1" t="str">
        <f t="shared" si="5"/>
        <v>NULL</v>
      </c>
      <c r="O35" s="1" t="s">
        <v>113</v>
      </c>
      <c r="Q35" s="1" t="e">
        <f>"EXEC SP_ADDEXTENDEDPROPERTY 'MS_Description', '"&amp;D35&amp;"', 'USER', dbo, 'TABLE', '"&amp;#REF!&amp;"', 'COLUMN', '"&amp;C35&amp;"'"</f>
        <v>#REF!</v>
      </c>
    </row>
    <row r="36" spans="1:17" s="1" customFormat="1" x14ac:dyDescent="0.3">
      <c r="A36" s="2"/>
      <c r="B36" s="2" t="s">
        <v>432</v>
      </c>
      <c r="C36" s="2" t="s">
        <v>461</v>
      </c>
      <c r="D36" s="2" t="s">
        <v>432</v>
      </c>
      <c r="E36" s="2" t="s">
        <v>545</v>
      </c>
      <c r="F36" s="2" t="s">
        <v>481</v>
      </c>
      <c r="G36" s="2"/>
      <c r="I36" s="1" t="str">
        <f t="shared" si="0"/>
        <v>BAD_QTY2</v>
      </c>
      <c r="J36" s="1" t="str">
        <f t="shared" si="1"/>
        <v>NUMBER</v>
      </c>
      <c r="K36" s="1" t="str">
        <f t="shared" si="2"/>
        <v>(</v>
      </c>
      <c r="L36" s="1" t="str">
        <f t="shared" si="3"/>
        <v>18,0</v>
      </c>
      <c r="M36" s="1" t="str">
        <f t="shared" si="4"/>
        <v>)</v>
      </c>
      <c r="N36" s="1" t="str">
        <f t="shared" si="5"/>
        <v>NULL</v>
      </c>
      <c r="O36" s="1" t="s">
        <v>113</v>
      </c>
      <c r="Q36" s="1" t="e">
        <f>"EXEC SP_ADDEXTENDEDPROPERTY 'MS_Description', '"&amp;D36&amp;"', 'USER', dbo, 'TABLE', '"&amp;#REF!&amp;"', 'COLUMN', '"&amp;C36&amp;"'"</f>
        <v>#REF!</v>
      </c>
    </row>
    <row r="37" spans="1:17" s="1" customFormat="1" x14ac:dyDescent="0.3">
      <c r="A37" s="2"/>
      <c r="B37" s="2" t="s">
        <v>433</v>
      </c>
      <c r="C37" s="2" t="s">
        <v>57</v>
      </c>
      <c r="D37" s="2" t="s">
        <v>433</v>
      </c>
      <c r="E37" s="2" t="s">
        <v>618</v>
      </c>
      <c r="F37" s="2">
        <v>10</v>
      </c>
      <c r="G37" s="2"/>
      <c r="I37" s="1" t="str">
        <f t="shared" si="0"/>
        <v>BAD_CODE3</v>
      </c>
      <c r="J37" s="1" t="str">
        <f t="shared" si="1"/>
        <v>NVARCHAR2</v>
      </c>
      <c r="K37" s="1" t="str">
        <f t="shared" si="2"/>
        <v>(</v>
      </c>
      <c r="L37" s="1">
        <f t="shared" si="3"/>
        <v>10</v>
      </c>
      <c r="M37" s="1" t="str">
        <f t="shared" si="4"/>
        <v>)</v>
      </c>
      <c r="N37" s="1" t="str">
        <f t="shared" si="5"/>
        <v>NULL</v>
      </c>
      <c r="O37" s="1" t="s">
        <v>113</v>
      </c>
      <c r="Q37" s="1" t="e">
        <f>"EXEC SP_ADDEXTENDEDPROPERTY 'MS_Description', '"&amp;D37&amp;"', 'USER', dbo, 'TABLE', '"&amp;#REF!&amp;"', 'COLUMN', '"&amp;C37&amp;"'"</f>
        <v>#REF!</v>
      </c>
    </row>
    <row r="38" spans="1:17" s="1" customFormat="1" x14ac:dyDescent="0.3">
      <c r="A38" s="2"/>
      <c r="B38" s="2" t="s">
        <v>297</v>
      </c>
      <c r="C38" s="2" t="s">
        <v>59</v>
      </c>
      <c r="D38" s="2" t="s">
        <v>297</v>
      </c>
      <c r="E38" s="2" t="s">
        <v>545</v>
      </c>
      <c r="F38" s="2" t="s">
        <v>481</v>
      </c>
      <c r="G38" s="2"/>
      <c r="I38" s="1" t="str">
        <f t="shared" si="0"/>
        <v>BAD_QTY3</v>
      </c>
      <c r="J38" s="1" t="str">
        <f t="shared" si="1"/>
        <v>NUMBER</v>
      </c>
      <c r="K38" s="1" t="str">
        <f t="shared" si="2"/>
        <v>(</v>
      </c>
      <c r="L38" s="1" t="str">
        <f t="shared" si="3"/>
        <v>18,0</v>
      </c>
      <c r="M38" s="1" t="str">
        <f t="shared" si="4"/>
        <v>)</v>
      </c>
      <c r="N38" s="1" t="str">
        <f t="shared" si="5"/>
        <v>NULL</v>
      </c>
      <c r="O38" s="1" t="s">
        <v>113</v>
      </c>
      <c r="Q38" s="1" t="e">
        <f>"EXEC SP_ADDEXTENDEDPROPERTY 'MS_Description', '"&amp;D38&amp;"', 'USER', dbo, 'TABLE', '"&amp;#REF!&amp;"', 'COLUMN', '"&amp;C38&amp;"'"</f>
        <v>#REF!</v>
      </c>
    </row>
    <row r="39" spans="1:17" s="1" customFormat="1" x14ac:dyDescent="0.3">
      <c r="A39" s="2"/>
      <c r="B39" s="2" t="s">
        <v>298</v>
      </c>
      <c r="C39" s="2" t="s">
        <v>58</v>
      </c>
      <c r="D39" s="2" t="s">
        <v>298</v>
      </c>
      <c r="E39" s="2" t="s">
        <v>618</v>
      </c>
      <c r="F39" s="2">
        <v>10</v>
      </c>
      <c r="G39" s="2"/>
      <c r="I39" s="1" t="str">
        <f t="shared" si="0"/>
        <v>BAD_CODE4</v>
      </c>
      <c r="J39" s="1" t="str">
        <f t="shared" si="1"/>
        <v>NVARCHAR2</v>
      </c>
      <c r="K39" s="1" t="str">
        <f t="shared" si="2"/>
        <v>(</v>
      </c>
      <c r="L39" s="1">
        <f t="shared" si="3"/>
        <v>10</v>
      </c>
      <c r="M39" s="1" t="str">
        <f t="shared" si="4"/>
        <v>)</v>
      </c>
      <c r="N39" s="1" t="str">
        <f t="shared" si="5"/>
        <v>NULL</v>
      </c>
      <c r="O39" s="1" t="s">
        <v>113</v>
      </c>
      <c r="Q39" s="1" t="e">
        <f>"EXEC SP_ADDEXTENDEDPROPERTY 'MS_Description', '"&amp;D39&amp;"', 'USER', dbo, 'TABLE', '"&amp;#REF!&amp;"', 'COLUMN', '"&amp;C39&amp;"'"</f>
        <v>#REF!</v>
      </c>
    </row>
    <row r="40" spans="1:17" s="1" customFormat="1" x14ac:dyDescent="0.3">
      <c r="A40" s="2"/>
      <c r="B40" s="2" t="s">
        <v>449</v>
      </c>
      <c r="C40" s="2" t="s">
        <v>345</v>
      </c>
      <c r="D40" s="2" t="s">
        <v>449</v>
      </c>
      <c r="E40" s="2" t="s">
        <v>545</v>
      </c>
      <c r="F40" s="2" t="s">
        <v>481</v>
      </c>
      <c r="G40" s="2"/>
      <c r="I40" s="1" t="str">
        <f t="shared" si="0"/>
        <v>BAD_QTY4</v>
      </c>
      <c r="J40" s="1" t="str">
        <f t="shared" si="1"/>
        <v>NUMBER</v>
      </c>
      <c r="K40" s="1" t="str">
        <f t="shared" si="2"/>
        <v>(</v>
      </c>
      <c r="L40" s="1" t="str">
        <f t="shared" si="3"/>
        <v>18,0</v>
      </c>
      <c r="M40" s="1" t="str">
        <f t="shared" si="4"/>
        <v>)</v>
      </c>
      <c r="N40" s="1" t="str">
        <f t="shared" si="5"/>
        <v>NULL</v>
      </c>
      <c r="O40" s="1" t="s">
        <v>113</v>
      </c>
      <c r="Q40" s="1" t="e">
        <f>"EXEC SP_ADDEXTENDEDPROPERTY 'MS_Description', '"&amp;D40&amp;"', 'USER', dbo, 'TABLE', '"&amp;#REF!&amp;"', 'COLUMN', '"&amp;C40&amp;"'"</f>
        <v>#REF!</v>
      </c>
    </row>
    <row r="41" spans="1:17" s="1" customFormat="1" x14ac:dyDescent="0.3">
      <c r="A41" s="2"/>
      <c r="B41" s="2" t="s">
        <v>453</v>
      </c>
      <c r="C41" s="2" t="s">
        <v>344</v>
      </c>
      <c r="D41" s="2" t="s">
        <v>453</v>
      </c>
      <c r="E41" s="2" t="s">
        <v>618</v>
      </c>
      <c r="F41" s="2">
        <v>10</v>
      </c>
      <c r="G41" s="2"/>
      <c r="I41" s="1" t="str">
        <f t="shared" si="0"/>
        <v>BAD_CODE5</v>
      </c>
      <c r="J41" s="1" t="str">
        <f t="shared" si="1"/>
        <v>NVARCHAR2</v>
      </c>
      <c r="K41" s="1" t="str">
        <f t="shared" si="2"/>
        <v>(</v>
      </c>
      <c r="L41" s="1">
        <f t="shared" si="3"/>
        <v>10</v>
      </c>
      <c r="M41" s="1" t="str">
        <f t="shared" si="4"/>
        <v>)</v>
      </c>
      <c r="N41" s="1" t="str">
        <f t="shared" si="5"/>
        <v>NULL</v>
      </c>
      <c r="O41" s="1" t="s">
        <v>113</v>
      </c>
      <c r="Q41" s="1" t="e">
        <f>"EXEC SP_ADDEXTENDEDPROPERTY 'MS_Description', '"&amp;D41&amp;"', 'USER', dbo, 'TABLE', '"&amp;#REF!&amp;"', 'COLUMN', '"&amp;C41&amp;"'"</f>
        <v>#REF!</v>
      </c>
    </row>
    <row r="42" spans="1:17" x14ac:dyDescent="0.3">
      <c r="A42" s="2"/>
      <c r="B42" s="2" t="s">
        <v>295</v>
      </c>
      <c r="C42" s="2" t="s">
        <v>343</v>
      </c>
      <c r="D42" s="2" t="s">
        <v>295</v>
      </c>
      <c r="E42" s="2" t="s">
        <v>545</v>
      </c>
      <c r="F42" s="2" t="s">
        <v>481</v>
      </c>
      <c r="G42" s="2"/>
      <c r="H42" s="1"/>
      <c r="I42" s="1" t="str">
        <f t="shared" si="0"/>
        <v>BAD_QTY5</v>
      </c>
      <c r="J42" s="1" t="str">
        <f t="shared" si="1"/>
        <v>NUMBER</v>
      </c>
      <c r="K42" s="1" t="str">
        <f t="shared" si="2"/>
        <v>(</v>
      </c>
      <c r="L42" s="1" t="str">
        <f t="shared" si="3"/>
        <v>18,0</v>
      </c>
      <c r="M42" s="1" t="str">
        <f t="shared" si="4"/>
        <v>)</v>
      </c>
      <c r="N42" s="1" t="str">
        <f t="shared" si="5"/>
        <v>NULL</v>
      </c>
      <c r="O42" s="1" t="s">
        <v>113</v>
      </c>
      <c r="P42" s="1"/>
      <c r="Q42" s="1" t="e">
        <f>"EXEC SP_ADDEXTENDEDPROPERTY 'MS_Description', '"&amp;D42&amp;"', 'USER', dbo, 'TABLE', '"&amp;#REF!&amp;"', 'COLUMN', '"&amp;C42&amp;"'"</f>
        <v>#REF!</v>
      </c>
    </row>
    <row r="43" spans="1:17" x14ac:dyDescent="0.3">
      <c r="A43" s="2"/>
      <c r="B43" s="2" t="s">
        <v>111</v>
      </c>
      <c r="C43" s="2" t="s">
        <v>790</v>
      </c>
      <c r="D43" s="2" t="s">
        <v>188</v>
      </c>
      <c r="E43" s="2" t="s">
        <v>618</v>
      </c>
      <c r="F43" s="2">
        <v>20</v>
      </c>
      <c r="G43" s="2" t="s">
        <v>90</v>
      </c>
      <c r="H43" s="1"/>
      <c r="I43" s="1" t="str">
        <f>""&amp;C43&amp;""</f>
        <v>INITBY</v>
      </c>
      <c r="J43" s="1" t="str">
        <f>""&amp;E43&amp;""</f>
        <v>NVARCHAR2</v>
      </c>
      <c r="K43" s="1" t="str">
        <f t="shared" si="2"/>
        <v>(</v>
      </c>
      <c r="L43" s="1">
        <f t="shared" si="3"/>
        <v>20</v>
      </c>
      <c r="M43" s="1" t="str">
        <f t="shared" si="4"/>
        <v>)</v>
      </c>
      <c r="N43" s="1" t="str">
        <f t="shared" si="5"/>
        <v>NOT NULL</v>
      </c>
      <c r="O43" s="1" t="s">
        <v>113</v>
      </c>
      <c r="P43" s="1"/>
      <c r="Q43" s="1" t="e">
        <f>"EXEC SP_ADDEXTENDEDPROPERTY 'MS_Description', '"&amp;D43&amp;"', 'USER', dbo, 'TABLE', '"&amp;#REF!&amp;"', 'COLUMN', '"&amp;C43&amp;"'"</f>
        <v>#REF!</v>
      </c>
    </row>
    <row r="44" spans="1:17" x14ac:dyDescent="0.3">
      <c r="A44" s="2"/>
      <c r="B44" s="2" t="s">
        <v>254</v>
      </c>
      <c r="C44" s="2" t="s">
        <v>791</v>
      </c>
      <c r="D44" s="2" t="s">
        <v>254</v>
      </c>
      <c r="E44" s="2" t="s">
        <v>228</v>
      </c>
      <c r="F44" s="2"/>
      <c r="G44" s="2" t="s">
        <v>90</v>
      </c>
      <c r="H44" s="1"/>
      <c r="I44" s="1" t="str">
        <f>""&amp;C44&amp;""</f>
        <v>INITDTTM</v>
      </c>
      <c r="J44" s="1" t="str">
        <f>""&amp;E44&amp;""</f>
        <v>DATE</v>
      </c>
      <c r="K44" s="1" t="str">
        <f t="shared" si="2"/>
        <v/>
      </c>
      <c r="L44" s="1" t="str">
        <f t="shared" si="3"/>
        <v/>
      </c>
      <c r="M44" s="1" t="str">
        <f t="shared" si="4"/>
        <v/>
      </c>
      <c r="N44" s="1" t="str">
        <f t="shared" si="5"/>
        <v>NOT NULL</v>
      </c>
      <c r="O44" s="1" t="s">
        <v>113</v>
      </c>
      <c r="P44" s="1"/>
      <c r="Q44" s="1" t="e">
        <f>"EXEC SP_ADDEXTENDEDPROPERTY 'MS_Description', '"&amp;D44&amp;"', 'USER', dbo, 'TABLE', '"&amp;#REF!&amp;"', 'COLUMN', '"&amp;C44&amp;"'"</f>
        <v>#REF!</v>
      </c>
    </row>
    <row r="45" spans="1:17" x14ac:dyDescent="0.3">
      <c r="A45" s="2"/>
      <c r="B45" s="2" t="s">
        <v>99</v>
      </c>
      <c r="C45" s="2" t="s">
        <v>793</v>
      </c>
      <c r="D45" s="2" t="s">
        <v>197</v>
      </c>
      <c r="E45" s="2" t="s">
        <v>618</v>
      </c>
      <c r="F45" s="2">
        <v>20</v>
      </c>
      <c r="G45" s="2" t="s">
        <v>122</v>
      </c>
      <c r="H45" s="1"/>
      <c r="I45" s="1" t="str">
        <f>""&amp;C45&amp;""</f>
        <v>UPBY</v>
      </c>
      <c r="J45" s="1" t="str">
        <f>""&amp;E45&amp;""</f>
        <v>NVARCHAR2</v>
      </c>
      <c r="K45" s="1" t="str">
        <f t="shared" si="2"/>
        <v>(</v>
      </c>
      <c r="L45" s="1">
        <f t="shared" si="3"/>
        <v>20</v>
      </c>
      <c r="M45" s="1" t="str">
        <f t="shared" si="4"/>
        <v>)</v>
      </c>
      <c r="N45" s="1" t="str">
        <f t="shared" si="5"/>
        <v>NULL</v>
      </c>
      <c r="O45" s="1" t="s">
        <v>113</v>
      </c>
      <c r="P45" s="1"/>
      <c r="Q45" s="1" t="e">
        <f>"EXEC SP_ADDEXTENDEDPROPERTY 'MS_Description', '"&amp;D45&amp;"', 'USER', dbo, 'TABLE', '"&amp;#REF!&amp;"', 'COLUMN', '"&amp;C45&amp;"'"</f>
        <v>#REF!</v>
      </c>
    </row>
    <row r="46" spans="1:17" x14ac:dyDescent="0.3">
      <c r="A46" s="2"/>
      <c r="B46" s="2" t="s">
        <v>259</v>
      </c>
      <c r="C46" s="2" t="s">
        <v>792</v>
      </c>
      <c r="D46" s="2" t="s">
        <v>259</v>
      </c>
      <c r="E46" s="2" t="s">
        <v>228</v>
      </c>
      <c r="F46" s="2"/>
      <c r="G46" s="2" t="s">
        <v>122</v>
      </c>
      <c r="H46" s="1"/>
      <c r="I46" s="1" t="str">
        <f>""&amp;C46&amp;""</f>
        <v>UPDTTM</v>
      </c>
      <c r="J46" s="1" t="str">
        <f>""&amp;E46&amp;""</f>
        <v>DATE</v>
      </c>
      <c r="K46" s="1" t="str">
        <f t="shared" si="2"/>
        <v/>
      </c>
      <c r="L46" s="1" t="str">
        <f t="shared" si="3"/>
        <v/>
      </c>
      <c r="M46" s="1" t="str">
        <f t="shared" si="4"/>
        <v/>
      </c>
      <c r="N46" s="1" t="str">
        <f t="shared" si="5"/>
        <v>NULL</v>
      </c>
      <c r="O46" s="1" t="s">
        <v>113</v>
      </c>
      <c r="P46" s="1"/>
      <c r="Q46" s="1" t="e">
        <f>"EXEC SP_ADDEXTENDEDPROPERTY 'MS_Description', '"&amp;D46&amp;"', 'USER', dbo, 'TABLE', '"&amp;#REF!&amp;"', 'COLUMN', '"&amp;C46&amp;"'"</f>
        <v>#REF!</v>
      </c>
    </row>
    <row r="47" spans="1:17" x14ac:dyDescent="0.3">
      <c r="C47" t="s">
        <v>419</v>
      </c>
      <c r="I47" t="str">
        <f>"CONSTRAINT PK__"&amp;C3&amp;" PRIMARY KEY CLUSTERED("</f>
        <v>CONSTRAINT PK__PACK PRIMARY KEY CLUSTERED(</v>
      </c>
    </row>
    <row r="48" spans="1:17" x14ac:dyDescent="0.3">
      <c r="C48" t="s">
        <v>366</v>
      </c>
      <c r="I48" t="str">
        <f>IF(A10="Y",C10,"")</f>
        <v>PACK_NO</v>
      </c>
      <c r="J48" s="1" t="str">
        <f>IF(A10="Y","ASC","")</f>
        <v>ASC</v>
      </c>
      <c r="K48" s="3" t="str">
        <f>IF(A10="Y",",","")</f>
        <v>,</v>
      </c>
      <c r="L48" s="3"/>
      <c r="M48" s="3"/>
      <c r="N48" s="3"/>
    </row>
    <row r="49" spans="9:14" x14ac:dyDescent="0.3">
      <c r="I49" s="1" t="str">
        <f>IF(A42="Y",C42,"")</f>
        <v/>
      </c>
      <c r="J49" s="1" t="str">
        <f>IF(A42="Y","ASC","")</f>
        <v/>
      </c>
      <c r="K49" s="1" t="str">
        <f>IF(A42="Y",",","")</f>
        <v/>
      </c>
      <c r="L49" s="1"/>
      <c r="M49" s="1"/>
      <c r="N49" s="1"/>
    </row>
    <row r="50" spans="9:14" x14ac:dyDescent="0.3">
      <c r="I50" s="1" t="e">
        <f>IF(#REF!="Y",#REF!,"")</f>
        <v>#REF!</v>
      </c>
      <c r="J50" s="1" t="e">
        <f>IF(#REF!="Y","ASC","")</f>
        <v>#REF!</v>
      </c>
      <c r="K50" s="1" t="e">
        <f>IF(#REF!="Y",",","")</f>
        <v>#REF!</v>
      </c>
      <c r="L50" s="1"/>
      <c r="M50" s="1"/>
      <c r="N50" s="1"/>
    </row>
    <row r="51" spans="9:14" x14ac:dyDescent="0.3">
      <c r="I51" s="1" t="e">
        <f>IF(#REF!="Y",#REF!,"")</f>
        <v>#REF!</v>
      </c>
      <c r="J51" s="1" t="e">
        <f>IF(#REF!="Y","ASC","")</f>
        <v>#REF!</v>
      </c>
      <c r="K51" s="1" t="e">
        <f>IF(#REF!="Y",",","")</f>
        <v>#REF!</v>
      </c>
      <c r="L51" s="1"/>
      <c r="M51" s="1"/>
      <c r="N51" s="1"/>
    </row>
    <row r="52" spans="9:14" x14ac:dyDescent="0.3">
      <c r="I52" s="1" t="e">
        <f>IF(#REF!="Y",#REF!,"")</f>
        <v>#REF!</v>
      </c>
      <c r="J52" s="1" t="e">
        <f>IF(#REF!="Y","ASC","")</f>
        <v>#REF!</v>
      </c>
      <c r="K52" s="1" t="e">
        <f>IF(#REF!="Y",",","")</f>
        <v>#REF!</v>
      </c>
      <c r="L52" s="1"/>
      <c r="M52" s="1"/>
      <c r="N52" s="1"/>
    </row>
    <row r="53" spans="9:14" x14ac:dyDescent="0.3">
      <c r="I53" s="1" t="e">
        <f>IF(#REF!="Y",#REF!,"")</f>
        <v>#REF!</v>
      </c>
      <c r="J53" s="1" t="e">
        <f>IF(#REF!="Y","ASC","")</f>
        <v>#REF!</v>
      </c>
      <c r="K53" s="1" t="e">
        <f>IF(#REF!="Y",",","")</f>
        <v>#REF!</v>
      </c>
      <c r="L53" s="1"/>
      <c r="M53" s="1"/>
      <c r="N53" s="1"/>
    </row>
    <row r="54" spans="9:14" x14ac:dyDescent="0.3">
      <c r="I54" s="1" t="e">
        <f>IF(#REF!="Y",#REF!,"")</f>
        <v>#REF!</v>
      </c>
      <c r="J54" s="1" t="e">
        <f>IF(#REF!="Y","ASC","")</f>
        <v>#REF!</v>
      </c>
      <c r="K54" s="1" t="e">
        <f>IF(#REF!="Y",",","")</f>
        <v>#REF!</v>
      </c>
      <c r="L54" s="1"/>
      <c r="M54" s="1"/>
      <c r="N54" s="1"/>
    </row>
    <row r="55" spans="9:14" x14ac:dyDescent="0.3">
      <c r="I55" t="s">
        <v>66</v>
      </c>
    </row>
    <row r="56" spans="9:14" x14ac:dyDescent="0.3">
      <c r="I56" t="s">
        <v>193</v>
      </c>
    </row>
  </sheetData>
  <phoneticPr fontId="7" type="noConversion"/>
  <hyperlinks>
    <hyperlink ref="A1" location="리스트!A1" display="리스트로 이동" xr:uid="{F9AA4214-D382-4621-B4A2-B4589CB4E463}"/>
  </hyperlinks>
  <pageMargins left="0.74805557727813721" right="0.74805557727813721" top="0.98430556058883667" bottom="0.98430556058883667" header="0.51166665554046631" footer="0.51166665554046631"/>
  <pageSetup paperSize="9" fitToWidth="0" fitToHeight="0" orientation="portrait" horizontalDpi="0" verticalDpi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Q50"/>
  <sheetViews>
    <sheetView zoomScaleNormal="100" zoomScaleSheetLayoutView="100" workbookViewId="0">
      <selection activeCell="I3" sqref="I3:P3"/>
    </sheetView>
  </sheetViews>
  <sheetFormatPr defaultColWidth="9" defaultRowHeight="16.5" x14ac:dyDescent="0.3"/>
  <cols>
    <col min="1" max="1" width="8.625" bestFit="1" customWidth="1"/>
    <col min="2" max="2" width="13.75" bestFit="1" customWidth="1"/>
    <col min="3" max="3" width="14.125" bestFit="1" customWidth="1"/>
    <col min="4" max="4" width="19.375" bestFit="1" customWidth="1"/>
    <col min="5" max="5" width="12.75" bestFit="1" customWidth="1"/>
    <col min="6" max="6" width="6.75" bestFit="1" customWidth="1"/>
    <col min="7" max="7" width="9" bestFit="1" customWidth="1"/>
    <col min="9" max="10" width="16.875" customWidth="1"/>
    <col min="11" max="11" width="1.625" bestFit="1" customWidth="1"/>
    <col min="12" max="12" width="3" bestFit="1" customWidth="1"/>
    <col min="13" max="13" width="1.625" bestFit="1" customWidth="1"/>
    <col min="14" max="15" width="10.125" bestFit="1" customWidth="1"/>
    <col min="16" max="16" width="16.875" customWidth="1"/>
  </cols>
  <sheetData>
    <row r="1" spans="1:17" x14ac:dyDescent="0.3">
      <c r="A1" s="16" t="s">
        <v>615</v>
      </c>
    </row>
    <row r="2" spans="1:17" x14ac:dyDescent="0.3">
      <c r="A2" s="2"/>
      <c r="B2" s="2" t="s">
        <v>116</v>
      </c>
      <c r="C2" s="2" t="s">
        <v>119</v>
      </c>
      <c r="D2" s="2" t="s">
        <v>112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3">
      <c r="A3" s="2"/>
      <c r="B3" s="2" t="s">
        <v>382</v>
      </c>
      <c r="C3" s="2" t="s">
        <v>411</v>
      </c>
      <c r="D3" s="2"/>
      <c r="E3" s="1"/>
      <c r="F3" s="1"/>
      <c r="G3" s="1"/>
      <c r="H3" s="1"/>
      <c r="I3" s="13" t="str">
        <f>"DROP TABLE "&amp;B3&amp;" CASCADE CONSTRAINTS PURGE"</f>
        <v>DROP TABLE 타이콘 CASCADE CONSTRAINTS PURGE</v>
      </c>
      <c r="J3" s="1"/>
      <c r="K3" s="1"/>
      <c r="L3" s="1"/>
      <c r="M3" s="1"/>
      <c r="N3" s="1"/>
      <c r="O3" s="21"/>
      <c r="P3" s="21" t="s">
        <v>771</v>
      </c>
      <c r="Q3" s="1"/>
    </row>
    <row r="4" spans="1:17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 t="s">
        <v>256</v>
      </c>
    </row>
    <row r="5" spans="1:17" x14ac:dyDescent="0.3">
      <c r="A5" s="2" t="s">
        <v>88</v>
      </c>
      <c r="B5" s="2" t="s">
        <v>215</v>
      </c>
      <c r="C5" s="2" t="s">
        <v>252</v>
      </c>
      <c r="D5" s="2" t="s">
        <v>169</v>
      </c>
      <c r="E5" s="2" t="s">
        <v>265</v>
      </c>
      <c r="F5" s="2" t="s">
        <v>101</v>
      </c>
      <c r="G5" s="2" t="s">
        <v>205</v>
      </c>
      <c r="H5" s="1"/>
      <c r="I5" s="1" t="str">
        <f>"CREATE TABLE "&amp;C3&amp;" ("</f>
        <v>CREATE TABLE TYCONES (</v>
      </c>
      <c r="J5" s="1"/>
      <c r="K5" s="1"/>
      <c r="L5" s="1"/>
      <c r="M5" s="1"/>
      <c r="N5" s="1"/>
      <c r="O5" s="1"/>
      <c r="P5" s="1"/>
      <c r="Q5" s="1"/>
    </row>
    <row r="6" spans="1:17" s="1" customFormat="1" x14ac:dyDescent="0.3">
      <c r="A6" s="2" t="s">
        <v>122</v>
      </c>
      <c r="B6" s="2" t="s">
        <v>35</v>
      </c>
      <c r="C6" s="2" t="s">
        <v>528</v>
      </c>
      <c r="D6" s="2" t="s">
        <v>71</v>
      </c>
      <c r="E6" s="2" t="s">
        <v>618</v>
      </c>
      <c r="F6" s="2">
        <v>20</v>
      </c>
      <c r="G6" s="2" t="s">
        <v>90</v>
      </c>
      <c r="I6" s="1" t="str">
        <f t="shared" ref="I6:I36" si="0">""&amp;C6&amp;""</f>
        <v>PLANT_CODE</v>
      </c>
      <c r="J6" s="1" t="str">
        <f t="shared" ref="J6:J36" si="1">""&amp;E6&amp;""</f>
        <v>NVARCHAR2</v>
      </c>
      <c r="K6" s="1" t="str">
        <f t="shared" ref="K6:K40" si="2">IF(F6="","","(")</f>
        <v>(</v>
      </c>
      <c r="L6" s="1">
        <f t="shared" ref="L6:L40" si="3">IF(F6="","",F6)</f>
        <v>20</v>
      </c>
      <c r="M6" s="1" t="str">
        <f t="shared" ref="M6:M40" si="4">IF(F6="","",")")</f>
        <v>)</v>
      </c>
      <c r="N6" s="1" t="str">
        <f t="shared" ref="N6:N11" si="5">IF(G6="N","NOT NULL","NULL")</f>
        <v>NOT NULL</v>
      </c>
      <c r="O6" s="1" t="s">
        <v>113</v>
      </c>
      <c r="Q6" s="1" t="e">
        <f>"EXEC SP_ADDEXTENDEDPROPERTY 'MS_Description', '"&amp;D6&amp;"', 'USER', dbo, 'TABLE', '"&amp;#REF!&amp;"', 'COLUMN', '"&amp;C6&amp;"'"</f>
        <v>#REF!</v>
      </c>
    </row>
    <row r="7" spans="1:17" s="1" customFormat="1" x14ac:dyDescent="0.3">
      <c r="A7" s="2" t="s">
        <v>122</v>
      </c>
      <c r="B7" s="2" t="s">
        <v>245</v>
      </c>
      <c r="C7" s="2" t="s">
        <v>291</v>
      </c>
      <c r="D7" s="2" t="s">
        <v>294</v>
      </c>
      <c r="E7" s="2" t="s">
        <v>618</v>
      </c>
      <c r="F7" s="2">
        <v>20</v>
      </c>
      <c r="G7" s="2" t="s">
        <v>90</v>
      </c>
      <c r="I7" s="1" t="str">
        <f t="shared" si="0"/>
        <v>PROCESS_CODE</v>
      </c>
      <c r="J7" s="1" t="str">
        <f t="shared" si="1"/>
        <v>NVARCHAR2</v>
      </c>
      <c r="K7" s="1" t="str">
        <f t="shared" si="2"/>
        <v>(</v>
      </c>
      <c r="L7" s="1">
        <f t="shared" si="3"/>
        <v>20</v>
      </c>
      <c r="M7" s="1" t="str">
        <f t="shared" si="4"/>
        <v>)</v>
      </c>
      <c r="N7" s="1" t="str">
        <f t="shared" si="5"/>
        <v>NOT NULL</v>
      </c>
      <c r="O7" s="1" t="s">
        <v>113</v>
      </c>
      <c r="Q7" s="1" t="e">
        <f>"EXEC SP_ADDEXTENDEDPROPERTY 'MS_Description', '"&amp;D7&amp;"', 'USER', dbo, 'TABLE', '"&amp;#REF!&amp;"', 'COLUMN', '"&amp;C7&amp;"'"</f>
        <v>#REF!</v>
      </c>
    </row>
    <row r="8" spans="1:17" s="1" customFormat="1" x14ac:dyDescent="0.3">
      <c r="A8" s="2" t="s">
        <v>122</v>
      </c>
      <c r="B8" s="2" t="s">
        <v>317</v>
      </c>
      <c r="C8" s="2" t="s">
        <v>312</v>
      </c>
      <c r="D8" s="2" t="s">
        <v>426</v>
      </c>
      <c r="E8" s="2" t="s">
        <v>618</v>
      </c>
      <c r="F8" s="2">
        <v>10</v>
      </c>
      <c r="G8" s="2" t="s">
        <v>90</v>
      </c>
      <c r="I8" s="1" t="str">
        <f t="shared" si="0"/>
        <v>WORK_DATE</v>
      </c>
      <c r="J8" s="1" t="str">
        <f t="shared" si="1"/>
        <v>NVARCHAR2</v>
      </c>
      <c r="K8" s="1" t="str">
        <f t="shared" si="2"/>
        <v>(</v>
      </c>
      <c r="L8" s="1">
        <f t="shared" si="3"/>
        <v>10</v>
      </c>
      <c r="M8" s="1" t="str">
        <f t="shared" si="4"/>
        <v>)</v>
      </c>
      <c r="N8" s="1" t="str">
        <f t="shared" si="5"/>
        <v>NOT NULL</v>
      </c>
      <c r="O8" s="1" t="s">
        <v>113</v>
      </c>
      <c r="Q8" s="1" t="e">
        <f>"EXEC SP_ADDEXTENDEDPROPERTY 'MS_Description', '"&amp;D8&amp;"', 'USER', dbo, 'TABLE', '"&amp;#REF!&amp;"', 'COLUMN', '"&amp;C8&amp;"'"</f>
        <v>#REF!</v>
      </c>
    </row>
    <row r="9" spans="1:17" s="1" customFormat="1" x14ac:dyDescent="0.3">
      <c r="A9" s="2" t="s">
        <v>122</v>
      </c>
      <c r="B9" s="2" t="s">
        <v>316</v>
      </c>
      <c r="C9" s="2" t="s">
        <v>313</v>
      </c>
      <c r="D9" s="2" t="s">
        <v>316</v>
      </c>
      <c r="E9" s="2" t="s">
        <v>545</v>
      </c>
      <c r="F9" s="2"/>
      <c r="G9" s="2" t="s">
        <v>90</v>
      </c>
      <c r="I9" s="1" t="str">
        <f t="shared" si="0"/>
        <v>WORK_NUM</v>
      </c>
      <c r="J9" s="1" t="str">
        <f t="shared" si="1"/>
        <v>NUMBER</v>
      </c>
      <c r="K9" s="1" t="str">
        <f t="shared" si="2"/>
        <v/>
      </c>
      <c r="L9" s="1" t="str">
        <f t="shared" si="3"/>
        <v/>
      </c>
      <c r="M9" s="1" t="str">
        <f t="shared" si="4"/>
        <v/>
      </c>
      <c r="N9" s="1" t="str">
        <f t="shared" si="5"/>
        <v>NOT NULL</v>
      </c>
      <c r="O9" s="1" t="s">
        <v>113</v>
      </c>
      <c r="Q9" s="1" t="e">
        <f>"EXEC SP_ADDEXTENDEDPROPERTY 'MS_Description', '"&amp;D9&amp;"', 'USER', dbo, 'TABLE', '"&amp;#REF!&amp;"', 'COLUMN', '"&amp;C9&amp;"'"</f>
        <v>#REF!</v>
      </c>
    </row>
    <row r="10" spans="1:17" s="1" customFormat="1" x14ac:dyDescent="0.3">
      <c r="A10" s="2" t="s">
        <v>122</v>
      </c>
      <c r="B10" s="2" t="s">
        <v>339</v>
      </c>
      <c r="C10" s="2" t="s">
        <v>279</v>
      </c>
      <c r="D10" s="2" t="s">
        <v>348</v>
      </c>
      <c r="E10" s="2" t="s">
        <v>618</v>
      </c>
      <c r="F10" s="2">
        <v>20</v>
      </c>
      <c r="G10" s="2" t="s">
        <v>90</v>
      </c>
      <c r="I10" s="1" t="str">
        <f t="shared" si="0"/>
        <v>TYCONES_NO</v>
      </c>
      <c r="J10" s="1" t="str">
        <f t="shared" si="1"/>
        <v>NVARCHAR2</v>
      </c>
      <c r="K10" s="1" t="str">
        <f t="shared" si="2"/>
        <v>(</v>
      </c>
      <c r="L10" s="1">
        <f t="shared" si="3"/>
        <v>20</v>
      </c>
      <c r="M10" s="1" t="str">
        <f t="shared" si="4"/>
        <v>)</v>
      </c>
      <c r="N10" s="1" t="str">
        <f t="shared" si="5"/>
        <v>NOT NULL</v>
      </c>
      <c r="O10" s="1" t="s">
        <v>113</v>
      </c>
      <c r="Q10" s="1" t="e">
        <f>"EXEC SP_ADDEXTENDEDPROPERTY 'MS_Description', '"&amp;D10&amp;"', 'USER', dbo, 'TABLE', '"&amp;#REF!&amp;"', 'COLUMN', '"&amp;C10&amp;"'"</f>
        <v>#REF!</v>
      </c>
    </row>
    <row r="11" spans="1:17" s="1" customFormat="1" x14ac:dyDescent="0.3">
      <c r="A11" s="2"/>
      <c r="B11" s="2" t="s">
        <v>347</v>
      </c>
      <c r="C11" s="2" t="s">
        <v>395</v>
      </c>
      <c r="D11" s="2" t="s">
        <v>347</v>
      </c>
      <c r="E11" s="2" t="s">
        <v>618</v>
      </c>
      <c r="F11" s="2">
        <v>20</v>
      </c>
      <c r="G11" s="2"/>
      <c r="I11" s="1" t="str">
        <f t="shared" si="0"/>
        <v>ICM_CODE</v>
      </c>
      <c r="J11" s="1" t="str">
        <f t="shared" si="1"/>
        <v>NVARCHAR2</v>
      </c>
      <c r="K11" s="1" t="str">
        <f t="shared" si="2"/>
        <v>(</v>
      </c>
      <c r="L11" s="1">
        <f t="shared" si="3"/>
        <v>20</v>
      </c>
      <c r="M11" s="1" t="str">
        <f t="shared" si="4"/>
        <v>)</v>
      </c>
      <c r="N11" s="1" t="str">
        <f t="shared" si="5"/>
        <v>NULL</v>
      </c>
      <c r="O11" s="1" t="s">
        <v>113</v>
      </c>
      <c r="Q11" s="1" t="e">
        <f>"EXEC SP_ADDEXTENDEDPROPERTY 'MS_Description', '"&amp;D11&amp;"', 'USER', dbo, 'TABLE', '"&amp;#REF!&amp;"', 'COLUMN', '"&amp;C11&amp;"'"</f>
        <v>#REF!</v>
      </c>
    </row>
    <row r="12" spans="1:17" s="1" customFormat="1" x14ac:dyDescent="0.3">
      <c r="A12" s="2"/>
      <c r="B12" s="2" t="s">
        <v>328</v>
      </c>
      <c r="C12" s="2" t="s">
        <v>149</v>
      </c>
      <c r="D12" s="2" t="s">
        <v>482</v>
      </c>
      <c r="E12" s="2" t="s">
        <v>618</v>
      </c>
      <c r="F12" s="2">
        <v>20</v>
      </c>
      <c r="G12" s="2" t="s">
        <v>90</v>
      </c>
      <c r="I12" s="1" t="str">
        <f t="shared" si="0"/>
        <v>MATERIAL_ID</v>
      </c>
      <c r="J12" s="1" t="str">
        <f t="shared" si="1"/>
        <v>NVARCHAR2</v>
      </c>
      <c r="K12" s="1" t="str">
        <f t="shared" si="2"/>
        <v>(</v>
      </c>
      <c r="L12" s="1">
        <f t="shared" si="3"/>
        <v>20</v>
      </c>
      <c r="M12" s="1" t="str">
        <f t="shared" si="4"/>
        <v>)</v>
      </c>
      <c r="N12" s="1" t="str">
        <f t="shared" ref="N12:N17" si="6">IF(G12="N","NOT NULL","NULL")</f>
        <v>NOT NULL</v>
      </c>
      <c r="O12" s="1" t="s">
        <v>113</v>
      </c>
      <c r="Q12" s="1" t="e">
        <f>"EXEC SP_ADDEXTENDEDPROPERTY 'MS_Description', '"&amp;D12&amp;"', 'USER', dbo, 'TABLE', '"&amp;#REF!&amp;"', 'COLUMN', '"&amp;C12&amp;"'"</f>
        <v>#REF!</v>
      </c>
    </row>
    <row r="13" spans="1:17" s="1" customFormat="1" x14ac:dyDescent="0.3">
      <c r="A13" s="2"/>
      <c r="B13" s="1" t="s">
        <v>47</v>
      </c>
      <c r="C13" s="2" t="s">
        <v>144</v>
      </c>
      <c r="D13" s="2" t="s">
        <v>516</v>
      </c>
      <c r="E13" s="2" t="s">
        <v>618</v>
      </c>
      <c r="F13" s="2">
        <v>20</v>
      </c>
      <c r="G13" s="2"/>
      <c r="I13" s="1" t="str">
        <f t="shared" si="0"/>
        <v>RECIPE_VER</v>
      </c>
      <c r="J13" s="1" t="str">
        <f t="shared" si="1"/>
        <v>NVARCHAR2</v>
      </c>
      <c r="K13" s="1" t="str">
        <f t="shared" si="2"/>
        <v>(</v>
      </c>
      <c r="L13" s="1">
        <f t="shared" si="3"/>
        <v>20</v>
      </c>
      <c r="M13" s="1" t="str">
        <f t="shared" si="4"/>
        <v>)</v>
      </c>
      <c r="N13" s="1" t="str">
        <f t="shared" si="6"/>
        <v>NULL</v>
      </c>
      <c r="O13" s="1" t="s">
        <v>113</v>
      </c>
      <c r="Q13" s="1" t="e">
        <f>"EXEC SP_ADDEXTENDEDPROPERTY 'MS_Description', '"&amp;D13&amp;"', 'USER', dbo, 'TABLE', '"&amp;#REF!&amp;"', 'COLUMN', '"&amp;C13&amp;"'"</f>
        <v>#REF!</v>
      </c>
    </row>
    <row r="14" spans="1:17" s="1" customFormat="1" x14ac:dyDescent="0.3">
      <c r="A14" s="2"/>
      <c r="B14" s="2" t="s">
        <v>355</v>
      </c>
      <c r="C14" s="2" t="s">
        <v>485</v>
      </c>
      <c r="D14" s="2" t="s">
        <v>355</v>
      </c>
      <c r="E14" s="2" t="s">
        <v>618</v>
      </c>
      <c r="F14" s="2">
        <v>20</v>
      </c>
      <c r="G14" s="2"/>
      <c r="I14" s="1" t="str">
        <f t="shared" si="0"/>
        <v>IN_BIN_CODE</v>
      </c>
      <c r="J14" s="1" t="str">
        <f t="shared" si="1"/>
        <v>NVARCHAR2</v>
      </c>
      <c r="K14" s="1" t="str">
        <f t="shared" si="2"/>
        <v>(</v>
      </c>
      <c r="L14" s="1">
        <f t="shared" si="3"/>
        <v>20</v>
      </c>
      <c r="M14" s="1" t="str">
        <f t="shared" si="4"/>
        <v>)</v>
      </c>
      <c r="N14" s="1" t="str">
        <f t="shared" si="6"/>
        <v>NULL</v>
      </c>
      <c r="O14" s="1" t="s">
        <v>113</v>
      </c>
      <c r="Q14" s="1" t="e">
        <f>"EXEC SP_ADDEXTENDEDPROPERTY 'MS_Description', '"&amp;D14&amp;"', 'USER', dbo, 'TABLE', '"&amp;#REF!&amp;"', 'COLUMN', '"&amp;C14&amp;"'"</f>
        <v>#REF!</v>
      </c>
    </row>
    <row r="15" spans="1:17" s="1" customFormat="1" x14ac:dyDescent="0.3">
      <c r="A15" s="2"/>
      <c r="B15" s="2" t="s">
        <v>329</v>
      </c>
      <c r="C15" s="2" t="s">
        <v>304</v>
      </c>
      <c r="D15" s="2" t="s">
        <v>329</v>
      </c>
      <c r="E15" s="2" t="s">
        <v>228</v>
      </c>
      <c r="F15" s="2" t="s">
        <v>0</v>
      </c>
      <c r="G15" s="2"/>
      <c r="I15" s="1" t="str">
        <f t="shared" si="0"/>
        <v>START_TIME</v>
      </c>
      <c r="J15" s="1" t="str">
        <f t="shared" si="1"/>
        <v>DATE</v>
      </c>
      <c r="K15" s="1" t="str">
        <f t="shared" si="2"/>
        <v>(</v>
      </c>
      <c r="L15" s="1" t="str">
        <f t="shared" si="3"/>
        <v>5,0</v>
      </c>
      <c r="M15" s="1" t="str">
        <f t="shared" si="4"/>
        <v>)</v>
      </c>
      <c r="N15" s="1" t="str">
        <f t="shared" si="6"/>
        <v>NULL</v>
      </c>
      <c r="O15" s="1" t="s">
        <v>113</v>
      </c>
      <c r="Q15" s="1" t="e">
        <f>"EXEC SP_ADDEXTENDEDPROPERTY 'MS_Description', '"&amp;D15&amp;"', 'USER', dbo, 'TABLE', '"&amp;#REF!&amp;"', 'COLUMN', '"&amp;C15&amp;"'"</f>
        <v>#REF!</v>
      </c>
    </row>
    <row r="16" spans="1:17" s="1" customFormat="1" x14ac:dyDescent="0.3">
      <c r="A16" s="2"/>
      <c r="B16" s="2" t="s">
        <v>371</v>
      </c>
      <c r="C16" s="2" t="s">
        <v>300</v>
      </c>
      <c r="D16" s="2" t="s">
        <v>371</v>
      </c>
      <c r="E16" s="2" t="s">
        <v>228</v>
      </c>
      <c r="F16" s="2" t="s">
        <v>0</v>
      </c>
      <c r="G16" s="2"/>
      <c r="I16" s="1" t="str">
        <f t="shared" si="0"/>
        <v>END_TIME</v>
      </c>
      <c r="J16" s="1" t="str">
        <f t="shared" si="1"/>
        <v>DATE</v>
      </c>
      <c r="K16" s="1" t="str">
        <f t="shared" si="2"/>
        <v>(</v>
      </c>
      <c r="L16" s="1" t="str">
        <f t="shared" si="3"/>
        <v>5,0</v>
      </c>
      <c r="M16" s="1" t="str">
        <f t="shared" si="4"/>
        <v>)</v>
      </c>
      <c r="N16" s="1" t="str">
        <f t="shared" si="6"/>
        <v>NULL</v>
      </c>
      <c r="O16" s="1" t="s">
        <v>113</v>
      </c>
      <c r="Q16" s="1" t="e">
        <f>"EXEC SP_ADDEXTENDEDPROPERTY 'MS_Description', '"&amp;D16&amp;"', 'USER', dbo, 'TABLE', '"&amp;#REF!&amp;"', 'COLUMN', '"&amp;C16&amp;"'"</f>
        <v>#REF!</v>
      </c>
    </row>
    <row r="17" spans="1:17" s="1" customFormat="1" x14ac:dyDescent="0.3">
      <c r="A17" s="2"/>
      <c r="B17" s="2" t="s">
        <v>417</v>
      </c>
      <c r="C17" s="2" t="s">
        <v>301</v>
      </c>
      <c r="D17" s="2" t="s">
        <v>417</v>
      </c>
      <c r="E17" s="2" t="s">
        <v>545</v>
      </c>
      <c r="F17" s="2" t="s">
        <v>0</v>
      </c>
      <c r="G17" s="2"/>
      <c r="I17" s="1" t="str">
        <f t="shared" si="0"/>
        <v>ORDER_QTY</v>
      </c>
      <c r="J17" s="1" t="str">
        <f t="shared" si="1"/>
        <v>NUMBER</v>
      </c>
      <c r="K17" s="1" t="str">
        <f t="shared" si="2"/>
        <v>(</v>
      </c>
      <c r="L17" s="1" t="str">
        <f t="shared" si="3"/>
        <v>5,0</v>
      </c>
      <c r="M17" s="1" t="str">
        <f t="shared" si="4"/>
        <v>)</v>
      </c>
      <c r="N17" s="1" t="str">
        <f t="shared" si="6"/>
        <v>NULL</v>
      </c>
      <c r="O17" s="1" t="s">
        <v>113</v>
      </c>
      <c r="Q17" s="1" t="e">
        <f>"EXEC SP_ADDEXTENDEDPROPERTY 'MS_Description', '"&amp;D17&amp;"', 'USER', dbo, 'TABLE', '"&amp;#REF!&amp;"', 'COLUMN', '"&amp;C17&amp;"'"</f>
        <v>#REF!</v>
      </c>
    </row>
    <row r="18" spans="1:17" s="1" customFormat="1" x14ac:dyDescent="0.3">
      <c r="A18" s="2"/>
      <c r="B18" s="2" t="s">
        <v>373</v>
      </c>
      <c r="C18" s="2" t="s">
        <v>60</v>
      </c>
      <c r="D18" s="2" t="s">
        <v>373</v>
      </c>
      <c r="E18" s="2" t="s">
        <v>545</v>
      </c>
      <c r="F18" s="2" t="s">
        <v>0</v>
      </c>
      <c r="G18" s="2"/>
      <c r="I18" s="1" t="str">
        <f t="shared" si="0"/>
        <v>EXPECT_QTY</v>
      </c>
      <c r="J18" s="1" t="str">
        <f t="shared" si="1"/>
        <v>NUMBER</v>
      </c>
      <c r="K18" s="1" t="str">
        <f t="shared" si="2"/>
        <v>(</v>
      </c>
      <c r="L18" s="1" t="str">
        <f t="shared" si="3"/>
        <v>5,0</v>
      </c>
      <c r="M18" s="1" t="str">
        <f t="shared" si="4"/>
        <v>)</v>
      </c>
      <c r="N18" s="1" t="str">
        <f t="shared" ref="N18:N24" si="7">IF(G18="N","NOT NULL","NULL")</f>
        <v>NULL</v>
      </c>
      <c r="O18" s="1" t="s">
        <v>113</v>
      </c>
      <c r="Q18" s="1" t="e">
        <f>"EXEC SP_ADDEXTENDEDPROPERTY 'MS_Description', '"&amp;D18&amp;"', 'USER', dbo, 'TABLE', '"&amp;#REF!&amp;"', 'COLUMN', '"&amp;C18&amp;"'"</f>
        <v>#REF!</v>
      </c>
    </row>
    <row r="19" spans="1:17" s="1" customFormat="1" x14ac:dyDescent="0.3">
      <c r="A19" s="2"/>
      <c r="B19" s="2" t="s">
        <v>474</v>
      </c>
      <c r="C19" s="2" t="s">
        <v>56</v>
      </c>
      <c r="D19" s="2" t="s">
        <v>474</v>
      </c>
      <c r="E19" s="2" t="s">
        <v>545</v>
      </c>
      <c r="F19" s="2" t="s">
        <v>0</v>
      </c>
      <c r="G19" s="2"/>
      <c r="I19" s="1" t="str">
        <f t="shared" si="0"/>
        <v>PROD_QTY</v>
      </c>
      <c r="J19" s="1" t="str">
        <f t="shared" si="1"/>
        <v>NUMBER</v>
      </c>
      <c r="K19" s="1" t="str">
        <f t="shared" si="2"/>
        <v>(</v>
      </c>
      <c r="L19" s="1" t="str">
        <f t="shared" si="3"/>
        <v>5,0</v>
      </c>
      <c r="M19" s="1" t="str">
        <f t="shared" si="4"/>
        <v>)</v>
      </c>
      <c r="N19" s="1" t="str">
        <f t="shared" si="7"/>
        <v>NULL</v>
      </c>
      <c r="O19" s="1" t="s">
        <v>113</v>
      </c>
      <c r="Q19" s="1" t="e">
        <f>"EXEC SP_ADDEXTENDEDPROPERTY 'MS_Description', '"&amp;D19&amp;"', 'USER', dbo, 'TABLE', '"&amp;#REF!&amp;"', 'COLUMN', '"&amp;C19&amp;"'"</f>
        <v>#REF!</v>
      </c>
    </row>
    <row r="20" spans="1:17" s="1" customFormat="1" x14ac:dyDescent="0.3">
      <c r="A20" s="2"/>
      <c r="B20" s="2" t="s">
        <v>404</v>
      </c>
      <c r="C20" s="2" t="s">
        <v>270</v>
      </c>
      <c r="D20" s="2" t="s">
        <v>404</v>
      </c>
      <c r="E20" s="2" t="s">
        <v>545</v>
      </c>
      <c r="F20" s="2" t="s">
        <v>0</v>
      </c>
      <c r="G20" s="2"/>
      <c r="I20" s="1" t="str">
        <f t="shared" si="0"/>
        <v>FIRST_QTY</v>
      </c>
      <c r="J20" s="1" t="str">
        <f t="shared" si="1"/>
        <v>NUMBER</v>
      </c>
      <c r="K20" s="1" t="str">
        <f t="shared" si="2"/>
        <v>(</v>
      </c>
      <c r="L20" s="1" t="str">
        <f t="shared" si="3"/>
        <v>5,0</v>
      </c>
      <c r="M20" s="1" t="str">
        <f t="shared" si="4"/>
        <v>)</v>
      </c>
      <c r="N20" s="1" t="str">
        <f t="shared" si="7"/>
        <v>NULL</v>
      </c>
      <c r="O20" s="1" t="s">
        <v>113</v>
      </c>
      <c r="Q20" s="1" t="e">
        <f>"EXEC SP_ADDEXTENDEDPROPERTY 'MS_Description', '"&amp;D20&amp;"', 'USER', dbo, 'TABLE', '"&amp;#REF!&amp;"', 'COLUMN', '"&amp;C20&amp;"'"</f>
        <v>#REF!</v>
      </c>
    </row>
    <row r="21" spans="1:17" s="1" customFormat="1" x14ac:dyDescent="0.3">
      <c r="A21" s="2"/>
      <c r="B21" s="2" t="s">
        <v>405</v>
      </c>
      <c r="C21" s="2" t="s">
        <v>350</v>
      </c>
      <c r="D21" s="2" t="s">
        <v>405</v>
      </c>
      <c r="E21" s="2" t="s">
        <v>545</v>
      </c>
      <c r="F21" s="2" t="s">
        <v>0</v>
      </c>
      <c r="G21" s="2"/>
      <c r="I21" s="1" t="str">
        <f t="shared" si="0"/>
        <v>END_QTY</v>
      </c>
      <c r="J21" s="1" t="str">
        <f t="shared" si="1"/>
        <v>NUMBER</v>
      </c>
      <c r="K21" s="1" t="str">
        <f t="shared" si="2"/>
        <v>(</v>
      </c>
      <c r="L21" s="1" t="str">
        <f t="shared" si="3"/>
        <v>5,0</v>
      </c>
      <c r="M21" s="1" t="str">
        <f t="shared" si="4"/>
        <v>)</v>
      </c>
      <c r="N21" s="1" t="str">
        <f t="shared" si="7"/>
        <v>NULL</v>
      </c>
      <c r="O21" s="1" t="s">
        <v>113</v>
      </c>
      <c r="Q21" s="1" t="e">
        <f>"EXEC SP_ADDEXTENDEDPROPERTY 'MS_Description', '"&amp;D21&amp;"', 'USER', dbo, 'TABLE', '"&amp;#REF!&amp;"', 'COLUMN', '"&amp;C21&amp;"'"</f>
        <v>#REF!</v>
      </c>
    </row>
    <row r="22" spans="1:17" s="1" customFormat="1" x14ac:dyDescent="0.3">
      <c r="A22" s="2"/>
      <c r="B22" s="2" t="s">
        <v>390</v>
      </c>
      <c r="C22" s="2" t="s">
        <v>349</v>
      </c>
      <c r="D22" s="2" t="s">
        <v>390</v>
      </c>
      <c r="E22" s="2" t="s">
        <v>545</v>
      </c>
      <c r="F22" s="2" t="s">
        <v>0</v>
      </c>
      <c r="G22" s="2"/>
      <c r="I22" s="1" t="str">
        <f t="shared" si="0"/>
        <v>ETC_QTY</v>
      </c>
      <c r="J22" s="1" t="str">
        <f t="shared" si="1"/>
        <v>NUMBER</v>
      </c>
      <c r="K22" s="1" t="str">
        <f t="shared" si="2"/>
        <v>(</v>
      </c>
      <c r="L22" s="1" t="str">
        <f t="shared" si="3"/>
        <v>5,0</v>
      </c>
      <c r="M22" s="1" t="str">
        <f t="shared" si="4"/>
        <v>)</v>
      </c>
      <c r="N22" s="1" t="str">
        <f t="shared" si="7"/>
        <v>NULL</v>
      </c>
      <c r="O22" s="1" t="s">
        <v>113</v>
      </c>
      <c r="Q22" s="1" t="e">
        <f>"EXEC SP_ADDEXTENDEDPROPERTY 'MS_Description', '"&amp;D22&amp;"', 'USER', dbo, 'TABLE', '"&amp;#REF!&amp;"', 'COLUMN', '"&amp;C22&amp;"'"</f>
        <v>#REF!</v>
      </c>
    </row>
    <row r="23" spans="1:17" s="1" customFormat="1" x14ac:dyDescent="0.3">
      <c r="A23" s="2"/>
      <c r="B23" s="2" t="s">
        <v>447</v>
      </c>
      <c r="C23" s="2" t="s">
        <v>61</v>
      </c>
      <c r="D23" s="2" t="s">
        <v>447</v>
      </c>
      <c r="E23" s="2" t="s">
        <v>545</v>
      </c>
      <c r="F23" s="2" t="s">
        <v>0</v>
      </c>
      <c r="G23" s="2"/>
      <c r="I23" s="1" t="str">
        <f t="shared" si="0"/>
        <v>USE_ETC_QTY</v>
      </c>
      <c r="J23" s="1" t="str">
        <f t="shared" si="1"/>
        <v>NUMBER</v>
      </c>
      <c r="K23" s="1" t="str">
        <f t="shared" si="2"/>
        <v>(</v>
      </c>
      <c r="L23" s="1" t="str">
        <f t="shared" si="3"/>
        <v>5,0</v>
      </c>
      <c r="M23" s="1" t="str">
        <f t="shared" si="4"/>
        <v>)</v>
      </c>
      <c r="N23" s="1" t="str">
        <f t="shared" si="7"/>
        <v>NULL</v>
      </c>
      <c r="O23" s="1" t="s">
        <v>113</v>
      </c>
      <c r="Q23" s="1" t="e">
        <f>"EXEC SP_ADDEXTENDEDPROPERTY 'MS_Description', '"&amp;D23&amp;"', 'USER', dbo, 'TABLE', '"&amp;#REF!&amp;"', 'COLUMN', '"&amp;C23&amp;"'"</f>
        <v>#REF!</v>
      </c>
    </row>
    <row r="24" spans="1:17" s="1" customFormat="1" x14ac:dyDescent="0.3">
      <c r="A24" s="2"/>
      <c r="B24" s="2" t="s">
        <v>475</v>
      </c>
      <c r="C24" s="2" t="s">
        <v>62</v>
      </c>
      <c r="D24" s="2" t="s">
        <v>475</v>
      </c>
      <c r="E24" s="2" t="s">
        <v>618</v>
      </c>
      <c r="F24" s="2">
        <v>1</v>
      </c>
      <c r="G24" s="2"/>
      <c r="I24" s="1" t="str">
        <f t="shared" si="0"/>
        <v>SAMPLE_CHK</v>
      </c>
      <c r="J24" s="1" t="str">
        <f t="shared" si="1"/>
        <v>NVARCHAR2</v>
      </c>
      <c r="K24" s="1" t="str">
        <f t="shared" si="2"/>
        <v>(</v>
      </c>
      <c r="L24" s="1">
        <f t="shared" si="3"/>
        <v>1</v>
      </c>
      <c r="M24" s="1" t="str">
        <f t="shared" si="4"/>
        <v>)</v>
      </c>
      <c r="N24" s="1" t="str">
        <f t="shared" si="7"/>
        <v>NULL</v>
      </c>
      <c r="O24" s="1" t="s">
        <v>113</v>
      </c>
      <c r="Q24" s="1" t="e">
        <f>"EXEC SP_ADDEXTENDEDPROPERTY 'MS_Description', '"&amp;D24&amp;"', 'USER', dbo, 'TABLE', '"&amp;#REF!&amp;"', 'COLUMN', '"&amp;C24&amp;"'"</f>
        <v>#REF!</v>
      </c>
    </row>
    <row r="25" spans="1:17" s="1" customFormat="1" x14ac:dyDescent="0.3">
      <c r="A25" s="2"/>
      <c r="B25" s="2" t="s">
        <v>428</v>
      </c>
      <c r="C25" s="2" t="s">
        <v>315</v>
      </c>
      <c r="D25" s="2" t="s">
        <v>428</v>
      </c>
      <c r="E25" s="2" t="s">
        <v>618</v>
      </c>
      <c r="F25" s="2">
        <v>20</v>
      </c>
      <c r="G25" s="2"/>
      <c r="I25" s="1" t="str">
        <f t="shared" si="0"/>
        <v>WORKER</v>
      </c>
      <c r="J25" s="1" t="str">
        <f t="shared" si="1"/>
        <v>NVARCHAR2</v>
      </c>
      <c r="K25" s="1" t="str">
        <f t="shared" si="2"/>
        <v>(</v>
      </c>
      <c r="L25" s="1">
        <f t="shared" si="3"/>
        <v>20</v>
      </c>
      <c r="M25" s="1" t="str">
        <f t="shared" si="4"/>
        <v>)</v>
      </c>
      <c r="N25" s="1" t="str">
        <f t="shared" ref="N25:N40" si="8">IF(G25="N","NOT NULL","NULL")</f>
        <v>NULL</v>
      </c>
      <c r="O25" s="1" t="s">
        <v>113</v>
      </c>
      <c r="Q25" s="1" t="e">
        <f>"EXEC SP_ADDEXTENDEDPROPERTY 'MS_Description', '"&amp;D25&amp;"', 'USER', dbo, 'TABLE', '"&amp;#REF!&amp;"', 'COLUMN', '"&amp;C25&amp;"'"</f>
        <v>#REF!</v>
      </c>
    </row>
    <row r="26" spans="1:17" s="1" customFormat="1" x14ac:dyDescent="0.3">
      <c r="A26" s="2"/>
      <c r="B26" s="2" t="s">
        <v>36</v>
      </c>
      <c r="C26" s="2" t="s">
        <v>302</v>
      </c>
      <c r="D26" s="2" t="s">
        <v>36</v>
      </c>
      <c r="E26" s="2" t="s">
        <v>618</v>
      </c>
      <c r="F26" s="2">
        <v>10</v>
      </c>
      <c r="G26" s="2"/>
      <c r="I26" s="1" t="str">
        <f t="shared" si="0"/>
        <v>WORK_STATE</v>
      </c>
      <c r="J26" s="1" t="str">
        <f t="shared" si="1"/>
        <v>NVARCHAR2</v>
      </c>
      <c r="K26" s="1" t="str">
        <f t="shared" si="2"/>
        <v>(</v>
      </c>
      <c r="L26" s="1">
        <f t="shared" si="3"/>
        <v>10</v>
      </c>
      <c r="M26" s="1" t="str">
        <f t="shared" si="4"/>
        <v>)</v>
      </c>
      <c r="N26" s="1" t="str">
        <f t="shared" si="8"/>
        <v>NULL</v>
      </c>
      <c r="O26" s="1" t="s">
        <v>113</v>
      </c>
      <c r="Q26" s="1" t="e">
        <f>"EXEC SP_ADDEXTENDEDPROPERTY 'MS_Description', '"&amp;D26&amp;"', 'USER', dbo, 'TABLE', '"&amp;#REF!&amp;"', 'COLUMN', '"&amp;C26&amp;"'"</f>
        <v>#REF!</v>
      </c>
    </row>
    <row r="27" spans="1:17" s="1" customFormat="1" x14ac:dyDescent="0.3">
      <c r="A27" s="2"/>
      <c r="B27" s="2" t="s">
        <v>381</v>
      </c>
      <c r="C27" s="2" t="s">
        <v>458</v>
      </c>
      <c r="D27" s="2" t="s">
        <v>381</v>
      </c>
      <c r="E27" s="2" t="s">
        <v>618</v>
      </c>
      <c r="F27" s="2">
        <v>10</v>
      </c>
      <c r="G27" s="2"/>
      <c r="I27" s="1" t="str">
        <f t="shared" si="0"/>
        <v>BAD_CODE1</v>
      </c>
      <c r="J27" s="1" t="str">
        <f t="shared" si="1"/>
        <v>NVARCHAR2</v>
      </c>
      <c r="K27" s="1" t="str">
        <f t="shared" si="2"/>
        <v>(</v>
      </c>
      <c r="L27" s="1">
        <f t="shared" si="3"/>
        <v>10</v>
      </c>
      <c r="M27" s="1" t="str">
        <f t="shared" si="4"/>
        <v>)</v>
      </c>
      <c r="N27" s="1" t="str">
        <f t="shared" si="8"/>
        <v>NULL</v>
      </c>
      <c r="O27" s="1" t="s">
        <v>113</v>
      </c>
      <c r="Q27" s="1" t="e">
        <f>"EXEC SP_ADDEXTENDEDPROPERTY 'MS_Description', '"&amp;D27&amp;"', 'USER', dbo, 'TABLE', '"&amp;#REF!&amp;"', 'COLUMN', '"&amp;C27&amp;"'"</f>
        <v>#REF!</v>
      </c>
    </row>
    <row r="28" spans="1:17" s="1" customFormat="1" x14ac:dyDescent="0.3">
      <c r="A28" s="2"/>
      <c r="B28" s="2" t="s">
        <v>330</v>
      </c>
      <c r="C28" s="2" t="s">
        <v>460</v>
      </c>
      <c r="D28" s="2" t="s">
        <v>330</v>
      </c>
      <c r="E28" s="2" t="s">
        <v>545</v>
      </c>
      <c r="F28" s="2" t="s">
        <v>481</v>
      </c>
      <c r="G28" s="2"/>
      <c r="I28" s="1" t="str">
        <f t="shared" si="0"/>
        <v>BAD_QTY1</v>
      </c>
      <c r="J28" s="1" t="str">
        <f t="shared" si="1"/>
        <v>NUMBER</v>
      </c>
      <c r="K28" s="1" t="str">
        <f t="shared" si="2"/>
        <v>(</v>
      </c>
      <c r="L28" s="1" t="str">
        <f t="shared" si="3"/>
        <v>18,0</v>
      </c>
      <c r="M28" s="1" t="str">
        <f t="shared" si="4"/>
        <v>)</v>
      </c>
      <c r="N28" s="1" t="str">
        <f t="shared" si="8"/>
        <v>NULL</v>
      </c>
      <c r="O28" s="1" t="s">
        <v>113</v>
      </c>
      <c r="Q28" s="1" t="e">
        <f>"EXEC SP_ADDEXTENDEDPROPERTY 'MS_Description', '"&amp;D28&amp;"', 'USER', dbo, 'TABLE', '"&amp;#REF!&amp;"', 'COLUMN', '"&amp;C28&amp;"'"</f>
        <v>#REF!</v>
      </c>
    </row>
    <row r="29" spans="1:17" s="1" customFormat="1" x14ac:dyDescent="0.3">
      <c r="A29" s="2"/>
      <c r="B29" s="2" t="s">
        <v>402</v>
      </c>
      <c r="C29" s="2" t="s">
        <v>459</v>
      </c>
      <c r="D29" s="2" t="s">
        <v>402</v>
      </c>
      <c r="E29" s="2" t="s">
        <v>618</v>
      </c>
      <c r="F29" s="2">
        <v>10</v>
      </c>
      <c r="G29" s="2"/>
      <c r="I29" s="1" t="str">
        <f t="shared" si="0"/>
        <v>BAD_CODE2</v>
      </c>
      <c r="J29" s="1" t="str">
        <f t="shared" si="1"/>
        <v>NVARCHAR2</v>
      </c>
      <c r="K29" s="1" t="str">
        <f t="shared" si="2"/>
        <v>(</v>
      </c>
      <c r="L29" s="1">
        <f t="shared" si="3"/>
        <v>10</v>
      </c>
      <c r="M29" s="1" t="str">
        <f t="shared" si="4"/>
        <v>)</v>
      </c>
      <c r="N29" s="1" t="str">
        <f t="shared" si="8"/>
        <v>NULL</v>
      </c>
      <c r="O29" s="1" t="s">
        <v>113</v>
      </c>
      <c r="Q29" s="1" t="e">
        <f>"EXEC SP_ADDEXTENDEDPROPERTY 'MS_Description', '"&amp;D29&amp;"', 'USER', dbo, 'TABLE', '"&amp;#REF!&amp;"', 'COLUMN', '"&amp;C29&amp;"'"</f>
        <v>#REF!</v>
      </c>
    </row>
    <row r="30" spans="1:17" s="1" customFormat="1" x14ac:dyDescent="0.3">
      <c r="A30" s="2"/>
      <c r="B30" s="2" t="s">
        <v>432</v>
      </c>
      <c r="C30" s="2" t="s">
        <v>461</v>
      </c>
      <c r="D30" s="2" t="s">
        <v>432</v>
      </c>
      <c r="E30" s="2" t="s">
        <v>545</v>
      </c>
      <c r="F30" s="2" t="s">
        <v>481</v>
      </c>
      <c r="G30" s="2"/>
      <c r="I30" s="1" t="str">
        <f t="shared" si="0"/>
        <v>BAD_QTY2</v>
      </c>
      <c r="J30" s="1" t="str">
        <f t="shared" si="1"/>
        <v>NUMBER</v>
      </c>
      <c r="K30" s="1" t="str">
        <f t="shared" si="2"/>
        <v>(</v>
      </c>
      <c r="L30" s="1" t="str">
        <f t="shared" si="3"/>
        <v>18,0</v>
      </c>
      <c r="M30" s="1" t="str">
        <f t="shared" si="4"/>
        <v>)</v>
      </c>
      <c r="N30" s="1" t="str">
        <f t="shared" si="8"/>
        <v>NULL</v>
      </c>
      <c r="O30" s="1" t="s">
        <v>113</v>
      </c>
      <c r="Q30" s="1" t="e">
        <f>"EXEC SP_ADDEXTENDEDPROPERTY 'MS_Description', '"&amp;D30&amp;"', 'USER', dbo, 'TABLE', '"&amp;#REF!&amp;"', 'COLUMN', '"&amp;C30&amp;"'"</f>
        <v>#REF!</v>
      </c>
    </row>
    <row r="31" spans="1:17" s="1" customFormat="1" x14ac:dyDescent="0.3">
      <c r="A31" s="2"/>
      <c r="B31" s="2" t="s">
        <v>433</v>
      </c>
      <c r="C31" s="2" t="s">
        <v>57</v>
      </c>
      <c r="D31" s="2" t="s">
        <v>433</v>
      </c>
      <c r="E31" s="2" t="s">
        <v>618</v>
      </c>
      <c r="F31" s="2">
        <v>10</v>
      </c>
      <c r="G31" s="2"/>
      <c r="I31" s="1" t="str">
        <f t="shared" si="0"/>
        <v>BAD_CODE3</v>
      </c>
      <c r="J31" s="1" t="str">
        <f t="shared" si="1"/>
        <v>NVARCHAR2</v>
      </c>
      <c r="K31" s="1" t="str">
        <f t="shared" si="2"/>
        <v>(</v>
      </c>
      <c r="L31" s="1">
        <f t="shared" si="3"/>
        <v>10</v>
      </c>
      <c r="M31" s="1" t="str">
        <f t="shared" si="4"/>
        <v>)</v>
      </c>
      <c r="N31" s="1" t="str">
        <f t="shared" si="8"/>
        <v>NULL</v>
      </c>
      <c r="O31" s="1" t="s">
        <v>113</v>
      </c>
      <c r="Q31" s="1" t="e">
        <f>"EXEC SP_ADDEXTENDEDPROPERTY 'MS_Description', '"&amp;D31&amp;"', 'USER', dbo, 'TABLE', '"&amp;#REF!&amp;"', 'COLUMN', '"&amp;C31&amp;"'"</f>
        <v>#REF!</v>
      </c>
    </row>
    <row r="32" spans="1:17" s="1" customFormat="1" x14ac:dyDescent="0.3">
      <c r="A32" s="2"/>
      <c r="B32" s="2" t="s">
        <v>297</v>
      </c>
      <c r="C32" s="2" t="s">
        <v>59</v>
      </c>
      <c r="D32" s="2" t="s">
        <v>297</v>
      </c>
      <c r="E32" s="2" t="s">
        <v>545</v>
      </c>
      <c r="F32" s="2" t="s">
        <v>481</v>
      </c>
      <c r="G32" s="2"/>
      <c r="I32" s="1" t="str">
        <f t="shared" si="0"/>
        <v>BAD_QTY3</v>
      </c>
      <c r="J32" s="1" t="str">
        <f t="shared" si="1"/>
        <v>NUMBER</v>
      </c>
      <c r="K32" s="1" t="str">
        <f t="shared" si="2"/>
        <v>(</v>
      </c>
      <c r="L32" s="1" t="str">
        <f t="shared" si="3"/>
        <v>18,0</v>
      </c>
      <c r="M32" s="1" t="str">
        <f t="shared" si="4"/>
        <v>)</v>
      </c>
      <c r="N32" s="1" t="str">
        <f t="shared" si="8"/>
        <v>NULL</v>
      </c>
      <c r="O32" s="1" t="s">
        <v>113</v>
      </c>
      <c r="Q32" s="1" t="e">
        <f>"EXEC SP_ADDEXTENDEDPROPERTY 'MS_Description', '"&amp;D32&amp;"', 'USER', dbo, 'TABLE', '"&amp;#REF!&amp;"', 'COLUMN', '"&amp;C32&amp;"'"</f>
        <v>#REF!</v>
      </c>
    </row>
    <row r="33" spans="1:17" s="1" customFormat="1" x14ac:dyDescent="0.3">
      <c r="A33" s="2"/>
      <c r="B33" s="2" t="s">
        <v>298</v>
      </c>
      <c r="C33" s="2" t="s">
        <v>58</v>
      </c>
      <c r="D33" s="2" t="s">
        <v>298</v>
      </c>
      <c r="E33" s="2" t="s">
        <v>618</v>
      </c>
      <c r="F33" s="2">
        <v>10</v>
      </c>
      <c r="G33" s="2"/>
      <c r="I33" s="1" t="str">
        <f t="shared" si="0"/>
        <v>BAD_CODE4</v>
      </c>
      <c r="J33" s="1" t="str">
        <f t="shared" si="1"/>
        <v>NVARCHAR2</v>
      </c>
      <c r="K33" s="1" t="str">
        <f t="shared" si="2"/>
        <v>(</v>
      </c>
      <c r="L33" s="1">
        <f t="shared" si="3"/>
        <v>10</v>
      </c>
      <c r="M33" s="1" t="str">
        <f t="shared" si="4"/>
        <v>)</v>
      </c>
      <c r="N33" s="1" t="str">
        <f t="shared" si="8"/>
        <v>NULL</v>
      </c>
      <c r="O33" s="1" t="s">
        <v>113</v>
      </c>
      <c r="Q33" s="1" t="e">
        <f>"EXEC SP_ADDEXTENDEDPROPERTY 'MS_Description', '"&amp;D33&amp;"', 'USER', dbo, 'TABLE', '"&amp;#REF!&amp;"', 'COLUMN', '"&amp;C33&amp;"'"</f>
        <v>#REF!</v>
      </c>
    </row>
    <row r="34" spans="1:17" s="1" customFormat="1" x14ac:dyDescent="0.3">
      <c r="A34" s="2"/>
      <c r="B34" s="2" t="s">
        <v>449</v>
      </c>
      <c r="C34" s="2" t="s">
        <v>345</v>
      </c>
      <c r="D34" s="2" t="s">
        <v>449</v>
      </c>
      <c r="E34" s="2" t="s">
        <v>545</v>
      </c>
      <c r="F34" s="2" t="s">
        <v>481</v>
      </c>
      <c r="G34" s="2"/>
      <c r="I34" s="1" t="str">
        <f t="shared" si="0"/>
        <v>BAD_QTY4</v>
      </c>
      <c r="J34" s="1" t="str">
        <f t="shared" si="1"/>
        <v>NUMBER</v>
      </c>
      <c r="K34" s="1" t="str">
        <f t="shared" si="2"/>
        <v>(</v>
      </c>
      <c r="L34" s="1" t="str">
        <f t="shared" si="3"/>
        <v>18,0</v>
      </c>
      <c r="M34" s="1" t="str">
        <f t="shared" si="4"/>
        <v>)</v>
      </c>
      <c r="N34" s="1" t="str">
        <f t="shared" si="8"/>
        <v>NULL</v>
      </c>
      <c r="O34" s="1" t="s">
        <v>113</v>
      </c>
      <c r="Q34" s="1" t="e">
        <f>"EXEC SP_ADDEXTENDEDPROPERTY 'MS_Description', '"&amp;D34&amp;"', 'USER', dbo, 'TABLE', '"&amp;#REF!&amp;"', 'COLUMN', '"&amp;C34&amp;"'"</f>
        <v>#REF!</v>
      </c>
    </row>
    <row r="35" spans="1:17" s="1" customFormat="1" x14ac:dyDescent="0.3">
      <c r="A35" s="2"/>
      <c r="B35" s="2" t="s">
        <v>453</v>
      </c>
      <c r="C35" s="2" t="s">
        <v>344</v>
      </c>
      <c r="D35" s="2" t="s">
        <v>453</v>
      </c>
      <c r="E35" s="2" t="s">
        <v>618</v>
      </c>
      <c r="F35" s="2">
        <v>10</v>
      </c>
      <c r="G35" s="2"/>
      <c r="I35" s="1" t="str">
        <f t="shared" si="0"/>
        <v>BAD_CODE5</v>
      </c>
      <c r="J35" s="1" t="str">
        <f t="shared" si="1"/>
        <v>NVARCHAR2</v>
      </c>
      <c r="K35" s="1" t="str">
        <f t="shared" si="2"/>
        <v>(</v>
      </c>
      <c r="L35" s="1">
        <f t="shared" si="3"/>
        <v>10</v>
      </c>
      <c r="M35" s="1" t="str">
        <f t="shared" si="4"/>
        <v>)</v>
      </c>
      <c r="N35" s="1" t="str">
        <f t="shared" si="8"/>
        <v>NULL</v>
      </c>
      <c r="O35" s="1" t="s">
        <v>113</v>
      </c>
      <c r="Q35" s="1" t="e">
        <f>"EXEC SP_ADDEXTENDEDPROPERTY 'MS_Description', '"&amp;D35&amp;"', 'USER', dbo, 'TABLE', '"&amp;#REF!&amp;"', 'COLUMN', '"&amp;C35&amp;"'"</f>
        <v>#REF!</v>
      </c>
    </row>
    <row r="36" spans="1:17" s="1" customFormat="1" x14ac:dyDescent="0.3">
      <c r="A36" s="2"/>
      <c r="B36" s="2" t="s">
        <v>295</v>
      </c>
      <c r="C36" s="2" t="s">
        <v>343</v>
      </c>
      <c r="D36" s="2" t="s">
        <v>295</v>
      </c>
      <c r="E36" s="2" t="s">
        <v>545</v>
      </c>
      <c r="F36" s="2" t="s">
        <v>481</v>
      </c>
      <c r="G36" s="2"/>
      <c r="I36" s="1" t="str">
        <f t="shared" si="0"/>
        <v>BAD_QTY5</v>
      </c>
      <c r="J36" s="1" t="str">
        <f t="shared" si="1"/>
        <v>NUMBER</v>
      </c>
      <c r="K36" s="1" t="str">
        <f t="shared" si="2"/>
        <v>(</v>
      </c>
      <c r="L36" s="1" t="str">
        <f t="shared" si="3"/>
        <v>18,0</v>
      </c>
      <c r="M36" s="1" t="str">
        <f t="shared" si="4"/>
        <v>)</v>
      </c>
      <c r="N36" s="1" t="str">
        <f t="shared" si="8"/>
        <v>NULL</v>
      </c>
      <c r="O36" s="1" t="s">
        <v>113</v>
      </c>
      <c r="Q36" s="1" t="e">
        <f>"EXEC SP_ADDEXTENDEDPROPERTY 'MS_Description', '"&amp;D36&amp;"', 'USER', dbo, 'TABLE', '"&amp;#REF!&amp;"', 'COLUMN', '"&amp;C36&amp;"'"</f>
        <v>#REF!</v>
      </c>
    </row>
    <row r="37" spans="1:17" x14ac:dyDescent="0.3">
      <c r="A37" s="2"/>
      <c r="B37" s="2" t="s">
        <v>111</v>
      </c>
      <c r="C37" s="2" t="s">
        <v>790</v>
      </c>
      <c r="D37" s="2" t="s">
        <v>188</v>
      </c>
      <c r="E37" s="2" t="s">
        <v>618</v>
      </c>
      <c r="F37" s="2">
        <v>20</v>
      </c>
      <c r="G37" s="2" t="s">
        <v>90</v>
      </c>
      <c r="H37" s="1"/>
      <c r="I37" s="1" t="str">
        <f>""&amp;C37&amp;""</f>
        <v>INITBY</v>
      </c>
      <c r="J37" s="1" t="str">
        <f>""&amp;E37&amp;""</f>
        <v>NVARCHAR2</v>
      </c>
      <c r="K37" s="1" t="str">
        <f t="shared" si="2"/>
        <v>(</v>
      </c>
      <c r="L37" s="1">
        <f t="shared" si="3"/>
        <v>20</v>
      </c>
      <c r="M37" s="1" t="str">
        <f t="shared" si="4"/>
        <v>)</v>
      </c>
      <c r="N37" s="1" t="str">
        <f t="shared" si="8"/>
        <v>NOT NULL</v>
      </c>
      <c r="O37" s="1" t="s">
        <v>113</v>
      </c>
      <c r="P37" s="1"/>
      <c r="Q37" s="1" t="e">
        <f>"EXEC SP_ADDEXTENDEDPROPERTY 'MS_Description', '"&amp;D37&amp;"', 'USER', dbo, 'TABLE', '"&amp;#REF!&amp;"', 'COLUMN', '"&amp;C37&amp;"'"</f>
        <v>#REF!</v>
      </c>
    </row>
    <row r="38" spans="1:17" x14ac:dyDescent="0.3">
      <c r="A38" s="2"/>
      <c r="B38" s="2" t="s">
        <v>254</v>
      </c>
      <c r="C38" s="2" t="s">
        <v>791</v>
      </c>
      <c r="D38" s="2" t="s">
        <v>254</v>
      </c>
      <c r="E38" s="2" t="s">
        <v>228</v>
      </c>
      <c r="F38" s="2"/>
      <c r="G38" s="2" t="s">
        <v>90</v>
      </c>
      <c r="H38" s="1"/>
      <c r="I38" s="1" t="str">
        <f>""&amp;C38&amp;""</f>
        <v>INITDTTM</v>
      </c>
      <c r="J38" s="1" t="str">
        <f>""&amp;E38&amp;""</f>
        <v>DATE</v>
      </c>
      <c r="K38" s="1" t="str">
        <f t="shared" si="2"/>
        <v/>
      </c>
      <c r="L38" s="1" t="str">
        <f t="shared" si="3"/>
        <v/>
      </c>
      <c r="M38" s="1" t="str">
        <f t="shared" si="4"/>
        <v/>
      </c>
      <c r="N38" s="1" t="str">
        <f t="shared" si="8"/>
        <v>NOT NULL</v>
      </c>
      <c r="O38" s="1" t="s">
        <v>113</v>
      </c>
      <c r="P38" s="1"/>
      <c r="Q38" s="1" t="e">
        <f>"EXEC SP_ADDEXTENDEDPROPERTY 'MS_Description', '"&amp;D38&amp;"', 'USER', dbo, 'TABLE', '"&amp;#REF!&amp;"', 'COLUMN', '"&amp;C38&amp;"'"</f>
        <v>#REF!</v>
      </c>
    </row>
    <row r="39" spans="1:17" x14ac:dyDescent="0.3">
      <c r="A39" s="2"/>
      <c r="B39" s="2" t="s">
        <v>99</v>
      </c>
      <c r="C39" s="2" t="s">
        <v>793</v>
      </c>
      <c r="D39" s="2" t="s">
        <v>197</v>
      </c>
      <c r="E39" s="2" t="s">
        <v>618</v>
      </c>
      <c r="F39" s="2">
        <v>20</v>
      </c>
      <c r="G39" s="2" t="s">
        <v>122</v>
      </c>
      <c r="H39" s="1"/>
      <c r="I39" s="1" t="str">
        <f>""&amp;C39&amp;""</f>
        <v>UPBY</v>
      </c>
      <c r="J39" s="1" t="str">
        <f>""&amp;E39&amp;""</f>
        <v>NVARCHAR2</v>
      </c>
      <c r="K39" s="1" t="str">
        <f t="shared" si="2"/>
        <v>(</v>
      </c>
      <c r="L39" s="1">
        <f t="shared" si="3"/>
        <v>20</v>
      </c>
      <c r="M39" s="1" t="str">
        <f t="shared" si="4"/>
        <v>)</v>
      </c>
      <c r="N39" s="1" t="str">
        <f t="shared" si="8"/>
        <v>NULL</v>
      </c>
      <c r="O39" s="1" t="s">
        <v>113</v>
      </c>
      <c r="P39" s="1"/>
      <c r="Q39" s="1" t="e">
        <f>"EXEC SP_ADDEXTENDEDPROPERTY 'MS_Description', '"&amp;D39&amp;"', 'USER', dbo, 'TABLE', '"&amp;#REF!&amp;"', 'COLUMN', '"&amp;C39&amp;"'"</f>
        <v>#REF!</v>
      </c>
    </row>
    <row r="40" spans="1:17" x14ac:dyDescent="0.3">
      <c r="A40" s="2"/>
      <c r="B40" s="2" t="s">
        <v>259</v>
      </c>
      <c r="C40" s="2" t="s">
        <v>792</v>
      </c>
      <c r="D40" s="2" t="s">
        <v>259</v>
      </c>
      <c r="E40" s="2" t="s">
        <v>228</v>
      </c>
      <c r="F40" s="2"/>
      <c r="G40" s="2" t="s">
        <v>122</v>
      </c>
      <c r="H40" s="1"/>
      <c r="I40" s="1" t="str">
        <f>""&amp;C40&amp;""</f>
        <v>UPDTTM</v>
      </c>
      <c r="J40" s="1" t="str">
        <f>""&amp;E40&amp;""</f>
        <v>DATE</v>
      </c>
      <c r="K40" s="1" t="str">
        <f t="shared" si="2"/>
        <v/>
      </c>
      <c r="L40" s="1" t="str">
        <f t="shared" si="3"/>
        <v/>
      </c>
      <c r="M40" s="1" t="str">
        <f t="shared" si="4"/>
        <v/>
      </c>
      <c r="N40" s="1" t="str">
        <f t="shared" si="8"/>
        <v>NULL</v>
      </c>
      <c r="O40" s="1" t="s">
        <v>113</v>
      </c>
      <c r="P40" s="1"/>
      <c r="Q40" s="1" t="e">
        <f>"EXEC SP_ADDEXTENDEDPROPERTY 'MS_Description', '"&amp;D40&amp;"', 'USER', dbo, 'TABLE', '"&amp;#REF!&amp;"', 'COLUMN', '"&amp;C40&amp;"'"</f>
        <v>#REF!</v>
      </c>
    </row>
    <row r="41" spans="1:17" x14ac:dyDescent="0.3">
      <c r="I41" t="str">
        <f>"CONSTRAINT PK__"&amp;C3&amp;" PRIMARY KEY CLUSTERED("</f>
        <v>CONSTRAINT PK__TYCONES PRIMARY KEY CLUSTERED(</v>
      </c>
    </row>
    <row r="42" spans="1:17" x14ac:dyDescent="0.3">
      <c r="I42" t="str">
        <f>IF(A32="Y",C32,"")</f>
        <v/>
      </c>
      <c r="J42" s="1" t="str">
        <f>IF(A32="Y","ASC","")</f>
        <v/>
      </c>
      <c r="K42" s="3" t="str">
        <f>IF(A32="Y",",","")</f>
        <v/>
      </c>
      <c r="L42" s="3"/>
      <c r="M42" s="3"/>
      <c r="N42" s="3"/>
    </row>
    <row r="43" spans="1:17" x14ac:dyDescent="0.3">
      <c r="I43" s="1" t="str">
        <f>IF(A33="Y",C33,"")</f>
        <v/>
      </c>
      <c r="J43" s="1" t="str">
        <f>IF(A33="Y","ASC","")</f>
        <v/>
      </c>
      <c r="K43" s="1" t="str">
        <f>IF(A33="Y",",","")</f>
        <v/>
      </c>
      <c r="L43" s="1"/>
      <c r="M43" s="1"/>
      <c r="N43" s="1"/>
    </row>
    <row r="44" spans="1:17" x14ac:dyDescent="0.3">
      <c r="I44" s="1" t="str">
        <f>IF(A34="Y",C34,"")</f>
        <v/>
      </c>
      <c r="J44" s="1" t="str">
        <f>IF(A34="Y","ASC","")</f>
        <v/>
      </c>
      <c r="K44" s="1" t="str">
        <f>IF(A34="Y",",","")</f>
        <v/>
      </c>
      <c r="L44" s="1"/>
      <c r="M44" s="1"/>
      <c r="N44" s="1"/>
    </row>
    <row r="45" spans="1:17" x14ac:dyDescent="0.3">
      <c r="I45" s="1" t="str">
        <f>IF(A35="Y",C35,"")</f>
        <v/>
      </c>
      <c r="J45" s="1" t="str">
        <f>IF(A35="Y","ASC","")</f>
        <v/>
      </c>
      <c r="K45" s="1" t="str">
        <f>IF(A35="Y",",","")</f>
        <v/>
      </c>
      <c r="L45" s="1"/>
      <c r="M45" s="1"/>
      <c r="N45" s="1"/>
    </row>
    <row r="46" spans="1:17" x14ac:dyDescent="0.3">
      <c r="I46" s="1" t="str">
        <f>IF(A36="Y",C36,"")</f>
        <v/>
      </c>
      <c r="J46" s="1" t="str">
        <f>IF(A36="Y","ASC","")</f>
        <v/>
      </c>
      <c r="K46" s="1" t="str">
        <f>IF(A36="Y",",","")</f>
        <v/>
      </c>
      <c r="L46" s="1"/>
      <c r="M46" s="1"/>
      <c r="N46" s="1"/>
    </row>
    <row r="47" spans="1:17" x14ac:dyDescent="0.3">
      <c r="I47" s="1" t="e">
        <f>IF(#REF!="Y",#REF!,"")</f>
        <v>#REF!</v>
      </c>
      <c r="J47" s="1" t="e">
        <f>IF(#REF!="Y","ASC","")</f>
        <v>#REF!</v>
      </c>
      <c r="K47" s="1" t="e">
        <f>IF(#REF!="Y",",","")</f>
        <v>#REF!</v>
      </c>
      <c r="L47" s="1"/>
      <c r="M47" s="1"/>
      <c r="N47" s="1"/>
    </row>
    <row r="48" spans="1:17" x14ac:dyDescent="0.3">
      <c r="I48" s="1" t="e">
        <f>IF(#REF!="Y",#REF!,"")</f>
        <v>#REF!</v>
      </c>
      <c r="J48" s="1" t="e">
        <f>IF(#REF!="Y","ASC","")</f>
        <v>#REF!</v>
      </c>
      <c r="K48" s="1" t="e">
        <f>IF(#REF!="Y",",","")</f>
        <v>#REF!</v>
      </c>
      <c r="L48" s="1"/>
      <c r="M48" s="1"/>
      <c r="N48" s="1"/>
    </row>
    <row r="49" spans="9:9" x14ac:dyDescent="0.3">
      <c r="I49" t="s">
        <v>66</v>
      </c>
    </row>
    <row r="50" spans="9:9" x14ac:dyDescent="0.3">
      <c r="I50" t="s">
        <v>193</v>
      </c>
    </row>
  </sheetData>
  <phoneticPr fontId="7" type="noConversion"/>
  <hyperlinks>
    <hyperlink ref="A1" location="리스트!A1" display="리스트로 이동" xr:uid="{278B09EB-4E77-438D-A8AD-3404B3577FCF}"/>
  </hyperlinks>
  <pageMargins left="0.74805557727813721" right="0.74805557727813721" top="0.98430556058883667" bottom="0.98430556058883667" header="0.51166665554046631" footer="0.51166665554046631"/>
  <pageSetup paperSize="9" fitToWidth="0" fitToHeight="0" orientation="portrait" horizontalDpi="0" verticalDpi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Q31"/>
  <sheetViews>
    <sheetView zoomScaleNormal="100" zoomScaleSheetLayoutView="100" workbookViewId="0">
      <selection activeCell="I3" sqref="I3:P3"/>
    </sheetView>
  </sheetViews>
  <sheetFormatPr defaultColWidth="9" defaultRowHeight="16.5" x14ac:dyDescent="0.3"/>
  <cols>
    <col min="1" max="1" width="8.625" bestFit="1" customWidth="1"/>
    <col min="2" max="2" width="13.75" bestFit="1" customWidth="1"/>
    <col min="3" max="3" width="16.25" bestFit="1" customWidth="1"/>
    <col min="4" max="4" width="19.375" bestFit="1" customWidth="1"/>
    <col min="5" max="5" width="12.75" bestFit="1" customWidth="1"/>
    <col min="6" max="6" width="6.75" bestFit="1" customWidth="1"/>
    <col min="7" max="7" width="9" bestFit="1" customWidth="1"/>
    <col min="9" max="10" width="16.875" customWidth="1"/>
    <col min="11" max="11" width="1.625" bestFit="1" customWidth="1"/>
    <col min="12" max="12" width="3" bestFit="1" customWidth="1"/>
    <col min="13" max="13" width="1.625" bestFit="1" customWidth="1"/>
    <col min="14" max="15" width="10.125" bestFit="1" customWidth="1"/>
    <col min="16" max="16" width="16.875" customWidth="1"/>
  </cols>
  <sheetData>
    <row r="1" spans="1:17" x14ac:dyDescent="0.3">
      <c r="A1" s="16" t="s">
        <v>615</v>
      </c>
    </row>
    <row r="2" spans="1:17" x14ac:dyDescent="0.3">
      <c r="A2" s="2"/>
      <c r="B2" s="2" t="s">
        <v>116</v>
      </c>
      <c r="C2" s="2" t="s">
        <v>119</v>
      </c>
      <c r="D2" s="2" t="s">
        <v>112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3">
      <c r="A3" s="2"/>
      <c r="B3" s="2" t="s">
        <v>410</v>
      </c>
      <c r="C3" s="2" t="s">
        <v>473</v>
      </c>
      <c r="D3" s="2"/>
      <c r="E3" s="1"/>
      <c r="F3" s="1"/>
      <c r="G3" s="1"/>
      <c r="H3" s="1"/>
      <c r="I3" s="13" t="str">
        <f>"DROP TABLE "&amp;B3&amp;" CASCADE CONSTRAINTS PURGE"</f>
        <v>DROP TABLE 자재이동 CASCADE CONSTRAINTS PURGE</v>
      </c>
      <c r="J3" s="1"/>
      <c r="K3" s="1"/>
      <c r="L3" s="1"/>
      <c r="M3" s="1"/>
      <c r="N3" s="1"/>
      <c r="O3" s="21"/>
      <c r="P3" s="21" t="s">
        <v>771</v>
      </c>
      <c r="Q3" s="1"/>
    </row>
    <row r="4" spans="1:17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 t="s">
        <v>256</v>
      </c>
    </row>
    <row r="5" spans="1:17" x14ac:dyDescent="0.3">
      <c r="A5" s="2" t="s">
        <v>88</v>
      </c>
      <c r="B5" s="2" t="s">
        <v>215</v>
      </c>
      <c r="C5" s="2" t="s">
        <v>252</v>
      </c>
      <c r="D5" s="2" t="s">
        <v>169</v>
      </c>
      <c r="E5" s="2" t="s">
        <v>265</v>
      </c>
      <c r="F5" s="2" t="s">
        <v>101</v>
      </c>
      <c r="G5" s="2" t="s">
        <v>205</v>
      </c>
      <c r="H5" s="1"/>
      <c r="I5" s="1" t="str">
        <f>"CREATE TABLE "&amp;C3&amp;" ("</f>
        <v>CREATE TABLE MATERIAL_MOVING (</v>
      </c>
      <c r="J5" s="1"/>
      <c r="K5" s="1"/>
      <c r="L5" s="1"/>
      <c r="M5" s="1"/>
      <c r="N5" s="1"/>
      <c r="O5" s="1"/>
      <c r="P5" s="1"/>
      <c r="Q5" s="1"/>
    </row>
    <row r="6" spans="1:17" s="1" customFormat="1" x14ac:dyDescent="0.3">
      <c r="A6" s="2" t="s">
        <v>122</v>
      </c>
      <c r="B6" s="2" t="s">
        <v>518</v>
      </c>
      <c r="C6" s="2" t="s">
        <v>95</v>
      </c>
      <c r="D6" s="2" t="s">
        <v>518</v>
      </c>
      <c r="E6" s="2" t="s">
        <v>545</v>
      </c>
      <c r="F6" s="2" t="s">
        <v>322</v>
      </c>
      <c r="G6" s="2" t="s">
        <v>90</v>
      </c>
      <c r="I6" s="1" t="str">
        <f t="shared" ref="I6:I17" si="0">""&amp;C6&amp;""</f>
        <v>SEQ</v>
      </c>
      <c r="J6" s="1" t="str">
        <f t="shared" ref="J6:J17" si="1">""&amp;E6&amp;""</f>
        <v>NUMBER</v>
      </c>
      <c r="K6" s="1" t="str">
        <f t="shared" ref="K6:K21" si="2">IF(F6="","","(")</f>
        <v>(</v>
      </c>
      <c r="L6" s="1" t="str">
        <f t="shared" ref="L6:L21" si="3">IF(F6="","",F6)</f>
        <v>IDENTITY(1,1)</v>
      </c>
      <c r="M6" s="1" t="str">
        <f t="shared" ref="M6:M21" si="4">IF(F6="","",")")</f>
        <v>)</v>
      </c>
      <c r="N6" s="1" t="str">
        <f>IF(G6="N","NOT NULL","NULL")</f>
        <v>NOT NULL</v>
      </c>
      <c r="O6" s="1" t="s">
        <v>113</v>
      </c>
      <c r="Q6" s="1" t="e">
        <f>"EXEC SP_ADDEXTENDEDPROPERTY 'MS_Description', '"&amp;D6&amp;"', 'USER', dbo, 'TABLE', '"&amp;#REF!&amp;"', 'COLUMN', '"&amp;C6&amp;"'"</f>
        <v>#REF!</v>
      </c>
    </row>
    <row r="7" spans="1:17" s="1" customFormat="1" x14ac:dyDescent="0.3">
      <c r="A7" s="2"/>
      <c r="B7" s="2" t="s">
        <v>451</v>
      </c>
      <c r="C7" s="2" t="s">
        <v>321</v>
      </c>
      <c r="D7" s="2" t="s">
        <v>451</v>
      </c>
      <c r="E7" s="2" t="s">
        <v>618</v>
      </c>
      <c r="F7" s="2">
        <v>10</v>
      </c>
      <c r="G7" s="2"/>
      <c r="I7" s="1" t="str">
        <f t="shared" si="0"/>
        <v>FROM_MATERIAL</v>
      </c>
      <c r="J7" s="1" t="str">
        <f t="shared" si="1"/>
        <v>NVARCHAR2</v>
      </c>
      <c r="K7" s="1" t="str">
        <f t="shared" si="2"/>
        <v>(</v>
      </c>
      <c r="L7" s="1">
        <f t="shared" si="3"/>
        <v>10</v>
      </c>
      <c r="M7" s="1" t="str">
        <f t="shared" si="4"/>
        <v>)</v>
      </c>
      <c r="N7" s="1" t="str">
        <f t="shared" ref="N7:N12" si="5">IF(G7="N","NOT NULL","NULL")</f>
        <v>NULL</v>
      </c>
      <c r="O7" s="1" t="s">
        <v>113</v>
      </c>
      <c r="Q7" s="1" t="e">
        <f>"EXEC SP_ADDEXTENDEDPROPERTY 'MS_Description', '"&amp;D7&amp;"', 'USER', dbo, 'TABLE', '"&amp;#REF!&amp;"', 'COLUMN', '"&amp;C7&amp;"'"</f>
        <v>#REF!</v>
      </c>
    </row>
    <row r="8" spans="1:17" s="1" customFormat="1" x14ac:dyDescent="0.3">
      <c r="A8" s="2"/>
      <c r="B8" s="2" t="s">
        <v>418</v>
      </c>
      <c r="C8" s="2" t="s">
        <v>523</v>
      </c>
      <c r="D8" s="2" t="s">
        <v>418</v>
      </c>
      <c r="E8" s="2" t="s">
        <v>618</v>
      </c>
      <c r="F8" s="2">
        <v>10</v>
      </c>
      <c r="G8" s="2"/>
      <c r="I8" s="1" t="str">
        <f t="shared" si="0"/>
        <v>TO_MATERIAL</v>
      </c>
      <c r="J8" s="1" t="str">
        <f t="shared" si="1"/>
        <v>NVARCHAR2</v>
      </c>
      <c r="K8" s="1" t="str">
        <f t="shared" si="2"/>
        <v>(</v>
      </c>
      <c r="L8" s="1">
        <f t="shared" si="3"/>
        <v>10</v>
      </c>
      <c r="M8" s="1" t="str">
        <f t="shared" si="4"/>
        <v>)</v>
      </c>
      <c r="N8" s="1" t="str">
        <f t="shared" si="5"/>
        <v>NULL</v>
      </c>
      <c r="O8" s="1" t="s">
        <v>113</v>
      </c>
      <c r="Q8" s="1" t="e">
        <f>"EXEC SP_ADDEXTENDEDPROPERTY 'MS_Description', '"&amp;D8&amp;"', 'USER', dbo, 'TABLE', '"&amp;#REF!&amp;"', 'COLUMN', '"&amp;C8&amp;"'"</f>
        <v>#REF!</v>
      </c>
    </row>
    <row r="9" spans="1:17" s="1" customFormat="1" x14ac:dyDescent="0.3">
      <c r="A9" s="2"/>
      <c r="B9" s="2" t="s">
        <v>328</v>
      </c>
      <c r="C9" s="2" t="s">
        <v>149</v>
      </c>
      <c r="D9" s="2" t="s">
        <v>482</v>
      </c>
      <c r="E9" s="2" t="s">
        <v>618</v>
      </c>
      <c r="F9" s="2">
        <v>20</v>
      </c>
      <c r="G9" s="2" t="s">
        <v>90</v>
      </c>
      <c r="I9" s="1" t="str">
        <f t="shared" si="0"/>
        <v>MATERIAL_ID</v>
      </c>
      <c r="J9" s="1" t="str">
        <f t="shared" si="1"/>
        <v>NVARCHAR2</v>
      </c>
      <c r="K9" s="1" t="str">
        <f t="shared" si="2"/>
        <v>(</v>
      </c>
      <c r="L9" s="1">
        <f t="shared" si="3"/>
        <v>20</v>
      </c>
      <c r="M9" s="1" t="str">
        <f t="shared" si="4"/>
        <v>)</v>
      </c>
      <c r="N9" s="1" t="str">
        <f t="shared" si="5"/>
        <v>NOT NULL</v>
      </c>
      <c r="O9" s="1" t="s">
        <v>113</v>
      </c>
      <c r="Q9" s="1" t="e">
        <f>"EXEC SP_ADDEXTENDEDPROPERTY 'MS_Description', '"&amp;D9&amp;"', 'USER', dbo, 'TABLE', '"&amp;#REF!&amp;"', 'COLUMN', '"&amp;C9&amp;"'"</f>
        <v>#REF!</v>
      </c>
    </row>
    <row r="10" spans="1:17" s="1" customFormat="1" x14ac:dyDescent="0.3">
      <c r="A10" s="2"/>
      <c r="B10" s="2" t="s">
        <v>502</v>
      </c>
      <c r="C10" s="2" t="s">
        <v>487</v>
      </c>
      <c r="D10" s="2" t="s">
        <v>502</v>
      </c>
      <c r="E10" s="2" t="s">
        <v>545</v>
      </c>
      <c r="F10" s="2" t="s">
        <v>499</v>
      </c>
      <c r="G10" s="2"/>
      <c r="I10" s="1" t="str">
        <f t="shared" si="0"/>
        <v>MOVING_QTY</v>
      </c>
      <c r="J10" s="1" t="str">
        <f t="shared" si="1"/>
        <v>NUMBER</v>
      </c>
      <c r="K10" s="1" t="str">
        <f t="shared" si="2"/>
        <v>(</v>
      </c>
      <c r="L10" s="1" t="str">
        <f t="shared" si="3"/>
        <v>24,8</v>
      </c>
      <c r="M10" s="1" t="str">
        <f t="shared" si="4"/>
        <v>)</v>
      </c>
      <c r="N10" s="1" t="str">
        <f t="shared" si="5"/>
        <v>NULL</v>
      </c>
      <c r="O10" s="1" t="s">
        <v>113</v>
      </c>
      <c r="Q10" s="1" t="e">
        <f>"EXEC SP_ADDEXTENDEDPROPERTY 'MS_Description', '"&amp;D10&amp;"', 'USER', dbo, 'TABLE', '"&amp;#REF!&amp;"', 'COLUMN', '"&amp;C10&amp;"'"</f>
        <v>#REF!</v>
      </c>
    </row>
    <row r="11" spans="1:17" s="1" customFormat="1" x14ac:dyDescent="0.3">
      <c r="A11" s="2"/>
      <c r="B11" s="2" t="s">
        <v>500</v>
      </c>
      <c r="C11" s="2" t="s">
        <v>434</v>
      </c>
      <c r="D11" s="2" t="s">
        <v>500</v>
      </c>
      <c r="E11" s="2" t="s">
        <v>618</v>
      </c>
      <c r="F11" s="2">
        <v>10</v>
      </c>
      <c r="G11" s="2"/>
      <c r="I11" s="1" t="str">
        <f t="shared" si="0"/>
        <v>LOTNO</v>
      </c>
      <c r="J11" s="1" t="str">
        <f t="shared" si="1"/>
        <v>NVARCHAR2</v>
      </c>
      <c r="K11" s="1" t="str">
        <f t="shared" si="2"/>
        <v>(</v>
      </c>
      <c r="L11" s="1">
        <f t="shared" si="3"/>
        <v>10</v>
      </c>
      <c r="M11" s="1" t="str">
        <f t="shared" si="4"/>
        <v>)</v>
      </c>
      <c r="N11" s="1" t="str">
        <f t="shared" si="5"/>
        <v>NULL</v>
      </c>
      <c r="O11" s="1" t="s">
        <v>113</v>
      </c>
      <c r="Q11" s="1" t="e">
        <f>"EXEC SP_ADDEXTENDEDPROPERTY 'MS_Description', '"&amp;D11&amp;"', 'USER', dbo, 'TABLE', '"&amp;#REF!&amp;"', 'COLUMN', '"&amp;C11&amp;"'"</f>
        <v>#REF!</v>
      </c>
    </row>
    <row r="12" spans="1:17" s="1" customFormat="1" x14ac:dyDescent="0.3">
      <c r="A12" s="2"/>
      <c r="B12" s="2" t="s">
        <v>275</v>
      </c>
      <c r="C12" s="2" t="s">
        <v>438</v>
      </c>
      <c r="D12" s="2" t="s">
        <v>275</v>
      </c>
      <c r="E12" s="2" t="s">
        <v>618</v>
      </c>
      <c r="F12" s="2">
        <v>10</v>
      </c>
      <c r="G12" s="2"/>
      <c r="I12" s="1" t="str">
        <f t="shared" si="0"/>
        <v>MOVING_STATE</v>
      </c>
      <c r="J12" s="1" t="str">
        <f t="shared" si="1"/>
        <v>NVARCHAR2</v>
      </c>
      <c r="K12" s="1" t="str">
        <f t="shared" si="2"/>
        <v>(</v>
      </c>
      <c r="L12" s="1">
        <f t="shared" si="3"/>
        <v>10</v>
      </c>
      <c r="M12" s="1" t="str">
        <f t="shared" si="4"/>
        <v>)</v>
      </c>
      <c r="N12" s="1" t="str">
        <f t="shared" si="5"/>
        <v>NULL</v>
      </c>
      <c r="O12" s="1" t="s">
        <v>113</v>
      </c>
      <c r="Q12" s="1" t="e">
        <f>"EXEC SP_ADDEXTENDEDPROPERTY 'MS_Description', '"&amp;D12&amp;"', 'USER', dbo, 'TABLE', '"&amp;#REF!&amp;"', 'COLUMN', '"&amp;C12&amp;"'"</f>
        <v>#REF!</v>
      </c>
    </row>
    <row r="13" spans="1:17" x14ac:dyDescent="0.3">
      <c r="A13" s="2"/>
      <c r="B13" s="2" t="s">
        <v>435</v>
      </c>
      <c r="C13" s="2" t="s">
        <v>400</v>
      </c>
      <c r="D13" s="2" t="s">
        <v>435</v>
      </c>
      <c r="E13" s="2" t="s">
        <v>618</v>
      </c>
      <c r="F13" s="2">
        <v>10</v>
      </c>
      <c r="G13" s="2"/>
      <c r="H13" s="1"/>
      <c r="I13" s="1" t="str">
        <f t="shared" si="0"/>
        <v>INTERFACE_STATE</v>
      </c>
      <c r="J13" s="1" t="str">
        <f t="shared" si="1"/>
        <v>NVARCHAR2</v>
      </c>
      <c r="K13" s="1" t="str">
        <f t="shared" si="2"/>
        <v>(</v>
      </c>
      <c r="L13" s="1">
        <f t="shared" si="3"/>
        <v>10</v>
      </c>
      <c r="M13" s="1" t="str">
        <f t="shared" si="4"/>
        <v>)</v>
      </c>
      <c r="N13" s="1" t="str">
        <f>IF(G13="N","NOT NULL","NULL")</f>
        <v>NULL</v>
      </c>
      <c r="O13" s="1" t="s">
        <v>113</v>
      </c>
      <c r="Q13" s="1" t="e">
        <f>"EXEC SP_ADDEXTENDEDPROPERTY 'MS_Description', '"&amp;D13&amp;"', 'USER', dbo, 'TABLE', '"&amp;#REF!&amp;"', 'COLUMN', '"&amp;C13&amp;"'"</f>
        <v>#REF!</v>
      </c>
    </row>
    <row r="14" spans="1:17" x14ac:dyDescent="0.3">
      <c r="A14" s="2"/>
      <c r="B14" s="2" t="s">
        <v>64</v>
      </c>
      <c r="C14" s="2" t="s">
        <v>401</v>
      </c>
      <c r="D14" s="2" t="s">
        <v>64</v>
      </c>
      <c r="E14" s="2" t="s">
        <v>228</v>
      </c>
      <c r="F14" s="2"/>
      <c r="G14" s="2"/>
      <c r="H14" s="1"/>
      <c r="I14" s="1" t="str">
        <f t="shared" si="0"/>
        <v>INTERFACE_DT</v>
      </c>
      <c r="J14" s="1" t="str">
        <f t="shared" si="1"/>
        <v>DATE</v>
      </c>
      <c r="K14" s="1" t="str">
        <f t="shared" si="2"/>
        <v/>
      </c>
      <c r="L14" s="1" t="str">
        <f t="shared" si="3"/>
        <v/>
      </c>
      <c r="M14" s="1" t="str">
        <f t="shared" si="4"/>
        <v/>
      </c>
      <c r="N14" s="1" t="str">
        <f t="shared" ref="N14:N21" si="6">IF(G14="N","NOT NULL","NULL")</f>
        <v>NULL</v>
      </c>
      <c r="O14" s="1" t="s">
        <v>113</v>
      </c>
      <c r="P14" s="1"/>
      <c r="Q14" s="1" t="e">
        <f>"EXEC SP_ADDEXTENDEDPROPERTY 'MS_Description', '"&amp;D14&amp;"', 'USER', dbo, 'TABLE', '"&amp;#REF!&amp;"', 'COLUMN', '"&amp;C14&amp;"'"</f>
        <v>#REF!</v>
      </c>
    </row>
    <row r="15" spans="1:17" x14ac:dyDescent="0.3">
      <c r="A15" s="2"/>
      <c r="B15" s="2" t="s">
        <v>503</v>
      </c>
      <c r="C15" s="2" t="s">
        <v>379</v>
      </c>
      <c r="D15" s="2" t="s">
        <v>503</v>
      </c>
      <c r="E15" s="2" t="s">
        <v>618</v>
      </c>
      <c r="F15" s="2">
        <v>10</v>
      </c>
      <c r="G15" s="2"/>
      <c r="H15" s="1"/>
      <c r="I15" s="1" t="str">
        <f t="shared" si="0"/>
        <v>INTERFACE_GUBUN</v>
      </c>
      <c r="J15" s="1" t="str">
        <f t="shared" si="1"/>
        <v>NVARCHAR2</v>
      </c>
      <c r="K15" s="1" t="str">
        <f t="shared" si="2"/>
        <v>(</v>
      </c>
      <c r="L15" s="1">
        <f t="shared" si="3"/>
        <v>10</v>
      </c>
      <c r="M15" s="1" t="str">
        <f t="shared" si="4"/>
        <v>)</v>
      </c>
      <c r="N15" s="1" t="str">
        <f t="shared" si="6"/>
        <v>NULL</v>
      </c>
      <c r="O15" s="1" t="s">
        <v>113</v>
      </c>
      <c r="P15" s="1"/>
      <c r="Q15" s="1" t="e">
        <f>"EXEC SP_ADDEXTENDEDPROPERTY 'MS_Description', '"&amp;D15&amp;"', 'USER', dbo, 'TABLE', '"&amp;#REF!&amp;"', 'COLUMN', '"&amp;C15&amp;"'"</f>
        <v>#REF!</v>
      </c>
    </row>
    <row r="16" spans="1:17" x14ac:dyDescent="0.3">
      <c r="A16" s="2"/>
      <c r="B16" s="2" t="s">
        <v>504</v>
      </c>
      <c r="C16" s="2" t="s">
        <v>517</v>
      </c>
      <c r="D16" s="2" t="s">
        <v>504</v>
      </c>
      <c r="E16" s="2" t="s">
        <v>618</v>
      </c>
      <c r="F16" s="2">
        <v>10</v>
      </c>
      <c r="G16" s="2"/>
      <c r="H16" s="1"/>
      <c r="I16" s="1" t="str">
        <f t="shared" si="0"/>
        <v>INTERFACE_ERR</v>
      </c>
      <c r="J16" s="1" t="str">
        <f t="shared" si="1"/>
        <v>NVARCHAR2</v>
      </c>
      <c r="K16" s="1" t="str">
        <f t="shared" si="2"/>
        <v>(</v>
      </c>
      <c r="L16" s="1">
        <f t="shared" si="3"/>
        <v>10</v>
      </c>
      <c r="M16" s="1" t="str">
        <f t="shared" si="4"/>
        <v>)</v>
      </c>
      <c r="N16" s="1" t="str">
        <f t="shared" si="6"/>
        <v>NULL</v>
      </c>
      <c r="O16" s="1" t="s">
        <v>113</v>
      </c>
      <c r="P16" s="1"/>
      <c r="Q16" s="1" t="e">
        <f>"EXEC SP_ADDEXTENDEDPROPERTY 'MS_Description', '"&amp;D16&amp;"', 'USER', dbo, 'TABLE', '"&amp;#REF!&amp;"', 'COLUMN', '"&amp;C16&amp;"'"</f>
        <v>#REF!</v>
      </c>
    </row>
    <row r="17" spans="1:17" x14ac:dyDescent="0.3">
      <c r="A17" s="2"/>
      <c r="B17" s="2" t="s">
        <v>501</v>
      </c>
      <c r="C17" s="2" t="s">
        <v>412</v>
      </c>
      <c r="D17" s="2" t="s">
        <v>501</v>
      </c>
      <c r="E17" s="2" t="s">
        <v>618</v>
      </c>
      <c r="F17" s="2" t="s">
        <v>109</v>
      </c>
      <c r="G17" s="2"/>
      <c r="H17" s="1"/>
      <c r="I17" s="1" t="str">
        <f t="shared" si="0"/>
        <v>ERR_MSG</v>
      </c>
      <c r="J17" s="1" t="str">
        <f t="shared" si="1"/>
        <v>NVARCHAR2</v>
      </c>
      <c r="K17" s="1" t="str">
        <f t="shared" si="2"/>
        <v>(</v>
      </c>
      <c r="L17" s="1" t="str">
        <f t="shared" si="3"/>
        <v>MAX</v>
      </c>
      <c r="M17" s="1" t="str">
        <f t="shared" si="4"/>
        <v>)</v>
      </c>
      <c r="N17" s="1" t="str">
        <f t="shared" si="6"/>
        <v>NULL</v>
      </c>
      <c r="O17" s="1" t="s">
        <v>113</v>
      </c>
      <c r="P17" s="1"/>
      <c r="Q17" s="1" t="e">
        <f>"EXEC SP_ADDEXTENDEDPROPERTY 'MS_Description', '"&amp;D17&amp;"', 'USER', dbo, 'TABLE', '"&amp;#REF!&amp;"', 'COLUMN', '"&amp;C17&amp;"'"</f>
        <v>#REF!</v>
      </c>
    </row>
    <row r="18" spans="1:17" x14ac:dyDescent="0.3">
      <c r="A18" s="2"/>
      <c r="B18" s="2" t="s">
        <v>111</v>
      </c>
      <c r="C18" s="2" t="s">
        <v>790</v>
      </c>
      <c r="D18" s="2" t="s">
        <v>188</v>
      </c>
      <c r="E18" s="2" t="s">
        <v>618</v>
      </c>
      <c r="F18" s="2">
        <v>20</v>
      </c>
      <c r="G18" s="2" t="s">
        <v>90</v>
      </c>
      <c r="H18" s="1"/>
      <c r="I18" s="1" t="str">
        <f>""&amp;C18&amp;""</f>
        <v>INITBY</v>
      </c>
      <c r="J18" s="1" t="str">
        <f>""&amp;E18&amp;""</f>
        <v>NVARCHAR2</v>
      </c>
      <c r="K18" s="1" t="str">
        <f t="shared" si="2"/>
        <v>(</v>
      </c>
      <c r="L18" s="1">
        <f t="shared" si="3"/>
        <v>20</v>
      </c>
      <c r="M18" s="1" t="str">
        <f t="shared" si="4"/>
        <v>)</v>
      </c>
      <c r="N18" s="1" t="str">
        <f t="shared" si="6"/>
        <v>NOT NULL</v>
      </c>
      <c r="O18" s="1" t="s">
        <v>113</v>
      </c>
      <c r="P18" s="1"/>
      <c r="Q18" s="1" t="e">
        <f>"EXEC SP_ADDEXTENDEDPROPERTY 'MS_Description', '"&amp;D18&amp;"', 'USER', dbo, 'TABLE', '"&amp;#REF!&amp;"', 'COLUMN', '"&amp;C18&amp;"'"</f>
        <v>#REF!</v>
      </c>
    </row>
    <row r="19" spans="1:17" x14ac:dyDescent="0.3">
      <c r="A19" s="2"/>
      <c r="B19" s="2" t="s">
        <v>254</v>
      </c>
      <c r="C19" s="2" t="s">
        <v>791</v>
      </c>
      <c r="D19" s="2" t="s">
        <v>254</v>
      </c>
      <c r="E19" s="2" t="s">
        <v>228</v>
      </c>
      <c r="F19" s="2"/>
      <c r="G19" s="2" t="s">
        <v>90</v>
      </c>
      <c r="H19" s="1"/>
      <c r="I19" s="1" t="str">
        <f>""&amp;C19&amp;""</f>
        <v>INITDTTM</v>
      </c>
      <c r="J19" s="1" t="str">
        <f>""&amp;E19&amp;""</f>
        <v>DATE</v>
      </c>
      <c r="K19" s="1" t="str">
        <f t="shared" si="2"/>
        <v/>
      </c>
      <c r="L19" s="1" t="str">
        <f t="shared" si="3"/>
        <v/>
      </c>
      <c r="M19" s="1" t="str">
        <f t="shared" si="4"/>
        <v/>
      </c>
      <c r="N19" s="1" t="str">
        <f t="shared" si="6"/>
        <v>NOT NULL</v>
      </c>
      <c r="O19" s="1" t="s">
        <v>113</v>
      </c>
      <c r="P19" s="1"/>
      <c r="Q19" s="1" t="e">
        <f>"EXEC SP_ADDEXTENDEDPROPERTY 'MS_Description', '"&amp;D19&amp;"', 'USER', dbo, 'TABLE', '"&amp;#REF!&amp;"', 'COLUMN', '"&amp;C19&amp;"'"</f>
        <v>#REF!</v>
      </c>
    </row>
    <row r="20" spans="1:17" x14ac:dyDescent="0.3">
      <c r="A20" s="2"/>
      <c r="B20" s="2" t="s">
        <v>99</v>
      </c>
      <c r="C20" s="2" t="s">
        <v>793</v>
      </c>
      <c r="D20" s="2" t="s">
        <v>197</v>
      </c>
      <c r="E20" s="2" t="s">
        <v>618</v>
      </c>
      <c r="F20" s="2">
        <v>20</v>
      </c>
      <c r="G20" s="2" t="s">
        <v>122</v>
      </c>
      <c r="H20" s="1"/>
      <c r="I20" s="1" t="str">
        <f>""&amp;C20&amp;""</f>
        <v>UPBY</v>
      </c>
      <c r="J20" s="1" t="str">
        <f>""&amp;E20&amp;""</f>
        <v>NVARCHAR2</v>
      </c>
      <c r="K20" s="1" t="str">
        <f t="shared" si="2"/>
        <v>(</v>
      </c>
      <c r="L20" s="1">
        <f t="shared" si="3"/>
        <v>20</v>
      </c>
      <c r="M20" s="1" t="str">
        <f t="shared" si="4"/>
        <v>)</v>
      </c>
      <c r="N20" s="1" t="str">
        <f t="shared" si="6"/>
        <v>NULL</v>
      </c>
      <c r="O20" s="1" t="s">
        <v>113</v>
      </c>
      <c r="P20" s="1"/>
      <c r="Q20" s="1" t="e">
        <f>"EXEC SP_ADDEXTENDEDPROPERTY 'MS_Description', '"&amp;D20&amp;"', 'USER', dbo, 'TABLE', '"&amp;#REF!&amp;"', 'COLUMN', '"&amp;C20&amp;"'"</f>
        <v>#REF!</v>
      </c>
    </row>
    <row r="21" spans="1:17" x14ac:dyDescent="0.3">
      <c r="A21" s="2"/>
      <c r="B21" s="2" t="s">
        <v>259</v>
      </c>
      <c r="C21" s="2" t="s">
        <v>792</v>
      </c>
      <c r="D21" s="2" t="s">
        <v>259</v>
      </c>
      <c r="E21" s="2" t="s">
        <v>228</v>
      </c>
      <c r="F21" s="2"/>
      <c r="G21" s="2" t="s">
        <v>122</v>
      </c>
      <c r="H21" s="1"/>
      <c r="I21" s="1" t="str">
        <f>""&amp;C21&amp;""</f>
        <v>UPDTTM</v>
      </c>
      <c r="J21" s="1" t="str">
        <f>""&amp;E21&amp;""</f>
        <v>DATE</v>
      </c>
      <c r="K21" s="1" t="str">
        <f t="shared" si="2"/>
        <v/>
      </c>
      <c r="L21" s="1" t="str">
        <f t="shared" si="3"/>
        <v/>
      </c>
      <c r="M21" s="1" t="str">
        <f t="shared" si="4"/>
        <v/>
      </c>
      <c r="N21" s="1" t="str">
        <f t="shared" si="6"/>
        <v>NULL</v>
      </c>
      <c r="O21" s="1" t="s">
        <v>113</v>
      </c>
      <c r="P21" s="1"/>
      <c r="Q21" s="1" t="e">
        <f>"EXEC SP_ADDEXTENDEDPROPERTY 'MS_Description', '"&amp;D21&amp;"', 'USER', dbo, 'TABLE', '"&amp;#REF!&amp;"', 'COLUMN', '"&amp;C21&amp;"'"</f>
        <v>#REF!</v>
      </c>
    </row>
    <row r="22" spans="1:17" x14ac:dyDescent="0.3">
      <c r="I22" t="str">
        <f>"CONSTRAINT PK__"&amp;C3&amp;" PRIMARY KEY CLUSTERED("</f>
        <v>CONSTRAINT PK__MATERIAL_MOVING PRIMARY KEY CLUSTERED(</v>
      </c>
    </row>
    <row r="23" spans="1:17" x14ac:dyDescent="0.3">
      <c r="I23" t="str">
        <f>IF(A13="Y",C13,"")</f>
        <v/>
      </c>
      <c r="J23" s="1" t="str">
        <f>IF(A13="Y","ASC","")</f>
        <v/>
      </c>
      <c r="K23" s="3" t="str">
        <f>IF(A13="Y",",","")</f>
        <v/>
      </c>
      <c r="L23" s="3"/>
      <c r="M23" s="3"/>
      <c r="N23" s="3"/>
    </row>
    <row r="24" spans="1:17" x14ac:dyDescent="0.3">
      <c r="I24" s="1" t="str">
        <f>IF(A14="Y",C14,"")</f>
        <v/>
      </c>
      <c r="J24" s="1" t="str">
        <f>IF(A14="Y","ASC","")</f>
        <v/>
      </c>
      <c r="K24" s="1" t="str">
        <f>IF(A14="Y",",","")</f>
        <v/>
      </c>
      <c r="L24" s="1"/>
      <c r="M24" s="1"/>
      <c r="N24" s="1"/>
    </row>
    <row r="25" spans="1:17" x14ac:dyDescent="0.3">
      <c r="I25" s="1" t="str">
        <f>IF(A15="Y",C15,"")</f>
        <v/>
      </c>
      <c r="J25" s="1" t="str">
        <f>IF(A15="Y","ASC","")</f>
        <v/>
      </c>
      <c r="K25" s="1" t="str">
        <f>IF(A15="Y",",","")</f>
        <v/>
      </c>
      <c r="L25" s="1"/>
      <c r="M25" s="1"/>
      <c r="N25" s="1"/>
    </row>
    <row r="26" spans="1:17" x14ac:dyDescent="0.3">
      <c r="I26" s="1" t="str">
        <f>IF(A16="Y",C16,"")</f>
        <v/>
      </c>
      <c r="J26" s="1" t="str">
        <f>IF(A16="Y","ASC","")</f>
        <v/>
      </c>
      <c r="K26" s="1" t="str">
        <f>IF(A16="Y",",","")</f>
        <v/>
      </c>
      <c r="L26" s="1"/>
      <c r="M26" s="1"/>
      <c r="N26" s="1"/>
    </row>
    <row r="27" spans="1:17" x14ac:dyDescent="0.3">
      <c r="I27" s="1" t="str">
        <f>IF(A17="Y",C17,"")</f>
        <v/>
      </c>
      <c r="J27" s="1" t="str">
        <f>IF(A17="Y","ASC","")</f>
        <v/>
      </c>
      <c r="K27" s="1" t="str">
        <f>IF(A17="Y",",","")</f>
        <v/>
      </c>
      <c r="L27" s="1"/>
      <c r="M27" s="1"/>
      <c r="N27" s="1"/>
    </row>
    <row r="28" spans="1:17" x14ac:dyDescent="0.3">
      <c r="I28" s="1" t="e">
        <f>IF(#REF!="Y",#REF!,"")</f>
        <v>#REF!</v>
      </c>
      <c r="J28" s="1" t="e">
        <f>IF(#REF!="Y","ASC","")</f>
        <v>#REF!</v>
      </c>
      <c r="K28" s="1" t="e">
        <f>IF(#REF!="Y",",","")</f>
        <v>#REF!</v>
      </c>
      <c r="L28" s="1"/>
      <c r="M28" s="1"/>
      <c r="N28" s="1"/>
    </row>
    <row r="29" spans="1:17" x14ac:dyDescent="0.3">
      <c r="I29" s="1" t="e">
        <f>IF(#REF!="Y",#REF!,"")</f>
        <v>#REF!</v>
      </c>
      <c r="J29" s="1" t="e">
        <f>IF(#REF!="Y","ASC","")</f>
        <v>#REF!</v>
      </c>
      <c r="K29" s="1" t="e">
        <f>IF(#REF!="Y",",","")</f>
        <v>#REF!</v>
      </c>
      <c r="L29" s="1"/>
      <c r="M29" s="1"/>
      <c r="N29" s="1"/>
    </row>
    <row r="30" spans="1:17" x14ac:dyDescent="0.3">
      <c r="I30" t="s">
        <v>66</v>
      </c>
    </row>
    <row r="31" spans="1:17" x14ac:dyDescent="0.3">
      <c r="I31" t="s">
        <v>193</v>
      </c>
    </row>
  </sheetData>
  <phoneticPr fontId="7" type="noConversion"/>
  <hyperlinks>
    <hyperlink ref="A1" location="리스트!A1" display="리스트로 이동" xr:uid="{8519B8BB-65D1-4C38-8D44-ECFF8D4AA8BD}"/>
  </hyperlinks>
  <pageMargins left="0.74805557727813721" right="0.74805557727813721" top="0.98430556058883667" bottom="0.98430556058883667" header="0.51166665554046631" footer="0.51166665554046631"/>
  <pageSetup paperSize="9" fitToWidth="0" fitToHeight="0" orientation="portrait" horizontalDpi="0" verticalDpi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Q30"/>
  <sheetViews>
    <sheetView zoomScaleNormal="100" zoomScaleSheetLayoutView="100" workbookViewId="0">
      <selection activeCell="I3" sqref="I3:P3"/>
    </sheetView>
  </sheetViews>
  <sheetFormatPr defaultColWidth="9" defaultRowHeight="16.5" x14ac:dyDescent="0.3"/>
  <cols>
    <col min="1" max="1" width="8.625" bestFit="1" customWidth="1"/>
    <col min="2" max="2" width="14.625" bestFit="1" customWidth="1"/>
    <col min="3" max="3" width="14.125" bestFit="1" customWidth="1"/>
    <col min="4" max="4" width="21.875" bestFit="1" customWidth="1"/>
    <col min="5" max="5" width="12.75" bestFit="1" customWidth="1"/>
    <col min="6" max="6" width="6.75" bestFit="1" customWidth="1"/>
    <col min="7" max="7" width="9" bestFit="1" customWidth="1"/>
    <col min="9" max="10" width="16.875" customWidth="1"/>
    <col min="11" max="11" width="1.625" bestFit="1" customWidth="1"/>
    <col min="12" max="12" width="3" bestFit="1" customWidth="1"/>
    <col min="13" max="13" width="1.625" bestFit="1" customWidth="1"/>
    <col min="14" max="15" width="10.125" bestFit="1" customWidth="1"/>
    <col min="16" max="16" width="16.875" customWidth="1"/>
  </cols>
  <sheetData>
    <row r="1" spans="1:17" x14ac:dyDescent="0.3">
      <c r="A1" s="16" t="s">
        <v>615</v>
      </c>
    </row>
    <row r="2" spans="1:17" x14ac:dyDescent="0.3">
      <c r="A2" s="2"/>
      <c r="B2" s="2" t="s">
        <v>116</v>
      </c>
      <c r="C2" s="2" t="s">
        <v>119</v>
      </c>
      <c r="D2" s="2" t="s">
        <v>112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3">
      <c r="A3" s="2"/>
      <c r="B3" s="2" t="s">
        <v>479</v>
      </c>
      <c r="C3" s="2" t="s">
        <v>406</v>
      </c>
      <c r="D3" s="2"/>
      <c r="E3" s="1"/>
      <c r="F3" s="1"/>
      <c r="G3" s="1"/>
      <c r="H3" s="1"/>
      <c r="I3" s="13" t="str">
        <f>"DROP TABLE "&amp;B3&amp;" CASCADE CONSTRAINTS PURGE"</f>
        <v>DROP TABLE 재고대체 CASCADE CONSTRAINTS PURGE</v>
      </c>
      <c r="J3" s="1"/>
      <c r="K3" s="1"/>
      <c r="L3" s="1"/>
      <c r="M3" s="1"/>
      <c r="N3" s="1"/>
      <c r="O3" s="21"/>
      <c r="P3" s="21" t="s">
        <v>771</v>
      </c>
      <c r="Q3" s="1"/>
    </row>
    <row r="4" spans="1:17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 t="s">
        <v>256</v>
      </c>
    </row>
    <row r="5" spans="1:17" x14ac:dyDescent="0.3">
      <c r="A5" s="2" t="s">
        <v>88</v>
      </c>
      <c r="B5" s="2" t="s">
        <v>215</v>
      </c>
      <c r="C5" s="2" t="s">
        <v>252</v>
      </c>
      <c r="D5" s="2" t="s">
        <v>169</v>
      </c>
      <c r="E5" s="2" t="s">
        <v>265</v>
      </c>
      <c r="F5" s="2" t="s">
        <v>101</v>
      </c>
      <c r="G5" s="2" t="s">
        <v>205</v>
      </c>
      <c r="H5" s="1"/>
      <c r="I5" s="1" t="str">
        <f>"CREATE TABLE "&amp;C3&amp;" ("</f>
        <v>CREATE TABLE STOCK_CHANGE (</v>
      </c>
      <c r="J5" s="1"/>
      <c r="K5" s="1"/>
      <c r="L5" s="1"/>
      <c r="M5" s="1"/>
      <c r="N5" s="1"/>
      <c r="O5" s="1"/>
      <c r="P5" s="1"/>
      <c r="Q5" s="1"/>
    </row>
    <row r="6" spans="1:17" s="1" customFormat="1" x14ac:dyDescent="0.3">
      <c r="A6" s="2" t="s">
        <v>122</v>
      </c>
      <c r="B6" s="8" t="s">
        <v>518</v>
      </c>
      <c r="C6" s="5" t="s">
        <v>95</v>
      </c>
      <c r="D6" s="2" t="s">
        <v>518</v>
      </c>
      <c r="E6" s="2" t="s">
        <v>545</v>
      </c>
      <c r="F6" s="2" t="s">
        <v>322</v>
      </c>
      <c r="G6" s="2"/>
      <c r="I6" s="1" t="str">
        <f t="shared" ref="I6:I16" si="0">""&amp;C6&amp;""</f>
        <v>SEQ</v>
      </c>
      <c r="J6" s="1" t="str">
        <f t="shared" ref="J6:J16" si="1">""&amp;E6&amp;""</f>
        <v>NUMBER</v>
      </c>
      <c r="K6" s="1" t="str">
        <f t="shared" ref="K6:K20" si="2">IF(F6="","","(")</f>
        <v>(</v>
      </c>
      <c r="L6" s="1" t="str">
        <f t="shared" ref="L6:L20" si="3">IF(F6="","",F6)</f>
        <v>IDENTITY(1,1)</v>
      </c>
      <c r="M6" s="1" t="str">
        <f t="shared" ref="M6:M20" si="4">IF(F6="","",")")</f>
        <v>)</v>
      </c>
      <c r="N6" s="1" t="str">
        <f>IF(G6="N","NOT NULL","NULL")</f>
        <v>NULL</v>
      </c>
      <c r="O6" s="1" t="s">
        <v>113</v>
      </c>
      <c r="Q6" s="1" t="e">
        <f>"EXEC SP_ADDEXTENDEDPROPERTY 'MS_Description', '"&amp;D6&amp;"', 'USER', dbo, 'TABLE', '"&amp;#REF!&amp;"', 'COLUMN', '"&amp;C6&amp;"'"</f>
        <v>#REF!</v>
      </c>
    </row>
    <row r="7" spans="1:17" s="1" customFormat="1" x14ac:dyDescent="0.3">
      <c r="A7" s="2"/>
      <c r="B7" s="8" t="s">
        <v>416</v>
      </c>
      <c r="C7" s="5" t="s">
        <v>321</v>
      </c>
      <c r="D7" s="2" t="s">
        <v>482</v>
      </c>
      <c r="E7" s="2" t="s">
        <v>618</v>
      </c>
      <c r="F7" s="2">
        <v>10</v>
      </c>
      <c r="G7" s="2"/>
      <c r="I7" s="1" t="str">
        <f t="shared" si="0"/>
        <v>FROM_MATERIAL</v>
      </c>
      <c r="J7" s="1" t="str">
        <f t="shared" si="1"/>
        <v>NVARCHAR2</v>
      </c>
      <c r="K7" s="1" t="str">
        <f t="shared" si="2"/>
        <v>(</v>
      </c>
      <c r="L7" s="1">
        <f t="shared" si="3"/>
        <v>10</v>
      </c>
      <c r="M7" s="1" t="str">
        <f t="shared" si="4"/>
        <v>)</v>
      </c>
      <c r="N7" s="1" t="str">
        <f t="shared" ref="N7:N12" si="5">IF(G7="N","NOT NULL","NULL")</f>
        <v>NULL</v>
      </c>
      <c r="O7" s="1" t="s">
        <v>113</v>
      </c>
      <c r="Q7" s="1" t="e">
        <f>"EXEC SP_ADDEXTENDEDPROPERTY 'MS_Description', '"&amp;D7&amp;"', 'USER', dbo, 'TABLE', '"&amp;#REF!&amp;"', 'COLUMN', '"&amp;C7&amp;"'"</f>
        <v>#REF!</v>
      </c>
    </row>
    <row r="8" spans="1:17" s="1" customFormat="1" x14ac:dyDescent="0.3">
      <c r="A8" s="2"/>
      <c r="B8" s="8" t="s">
        <v>445</v>
      </c>
      <c r="C8" s="5" t="s">
        <v>523</v>
      </c>
      <c r="D8" s="2" t="s">
        <v>482</v>
      </c>
      <c r="E8" s="2" t="s">
        <v>618</v>
      </c>
      <c r="F8" s="2">
        <v>10</v>
      </c>
      <c r="G8" s="2"/>
      <c r="I8" s="1" t="str">
        <f t="shared" si="0"/>
        <v>TO_MATERIAL</v>
      </c>
      <c r="J8" s="1" t="str">
        <f t="shared" si="1"/>
        <v>NVARCHAR2</v>
      </c>
      <c r="K8" s="1" t="str">
        <f t="shared" si="2"/>
        <v>(</v>
      </c>
      <c r="L8" s="1">
        <f t="shared" si="3"/>
        <v>10</v>
      </c>
      <c r="M8" s="1" t="str">
        <f t="shared" si="4"/>
        <v>)</v>
      </c>
      <c r="N8" s="1" t="str">
        <f t="shared" si="5"/>
        <v>NULL</v>
      </c>
      <c r="O8" s="1" t="s">
        <v>113</v>
      </c>
      <c r="Q8" s="1" t="e">
        <f>"EXEC SP_ADDEXTENDEDPROPERTY 'MS_Description', '"&amp;D8&amp;"', 'USER', dbo, 'TABLE', '"&amp;#REF!&amp;"', 'COLUMN', '"&amp;C8&amp;"'"</f>
        <v>#REF!</v>
      </c>
    </row>
    <row r="9" spans="1:17" s="1" customFormat="1" x14ac:dyDescent="0.3">
      <c r="A9" s="2"/>
      <c r="B9" s="8" t="s">
        <v>415</v>
      </c>
      <c r="C9" s="5" t="s">
        <v>519</v>
      </c>
      <c r="D9" s="2" t="s">
        <v>502</v>
      </c>
      <c r="E9" s="2" t="s">
        <v>545</v>
      </c>
      <c r="F9" s="2" t="s">
        <v>499</v>
      </c>
      <c r="G9" s="2"/>
      <c r="I9" s="1" t="str">
        <f t="shared" si="0"/>
        <v>FROM_QTY</v>
      </c>
      <c r="J9" s="1" t="str">
        <f t="shared" si="1"/>
        <v>NUMBER</v>
      </c>
      <c r="K9" s="1" t="str">
        <f t="shared" si="2"/>
        <v>(</v>
      </c>
      <c r="L9" s="1" t="str">
        <f t="shared" si="3"/>
        <v>24,8</v>
      </c>
      <c r="M9" s="1" t="str">
        <f t="shared" si="4"/>
        <v>)</v>
      </c>
      <c r="N9" s="1" t="str">
        <f t="shared" si="5"/>
        <v>NULL</v>
      </c>
      <c r="O9" s="1" t="s">
        <v>113</v>
      </c>
      <c r="Q9" s="1" t="e">
        <f>"EXEC SP_ADDEXTENDEDPROPERTY 'MS_Description', '"&amp;D9&amp;"', 'USER', dbo, 'TABLE', '"&amp;#REF!&amp;"', 'COLUMN', '"&amp;C9&amp;"'"</f>
        <v>#REF!</v>
      </c>
    </row>
    <row r="10" spans="1:17" s="1" customFormat="1" x14ac:dyDescent="0.3">
      <c r="A10" s="2"/>
      <c r="B10" s="8" t="s">
        <v>386</v>
      </c>
      <c r="C10" s="5" t="s">
        <v>524</v>
      </c>
      <c r="D10" s="2" t="s">
        <v>318</v>
      </c>
      <c r="E10" s="2" t="s">
        <v>618</v>
      </c>
      <c r="F10" s="2">
        <v>20</v>
      </c>
      <c r="G10" s="2"/>
      <c r="I10" s="1" t="str">
        <f t="shared" si="0"/>
        <v>FROM_LOCATION</v>
      </c>
      <c r="J10" s="1" t="str">
        <f t="shared" si="1"/>
        <v>NVARCHAR2</v>
      </c>
      <c r="K10" s="1" t="str">
        <f t="shared" si="2"/>
        <v>(</v>
      </c>
      <c r="L10" s="1">
        <f t="shared" si="3"/>
        <v>20</v>
      </c>
      <c r="M10" s="1" t="str">
        <f t="shared" si="4"/>
        <v>)</v>
      </c>
      <c r="N10" s="1" t="str">
        <f t="shared" si="5"/>
        <v>NULL</v>
      </c>
      <c r="O10" s="1" t="s">
        <v>113</v>
      </c>
      <c r="Q10" s="1" t="e">
        <f>"EXEC SP_ADDEXTENDEDPROPERTY 'MS_Description', '"&amp;D10&amp;"', 'USER', dbo, 'TABLE', '"&amp;#REF!&amp;"', 'COLUMN', '"&amp;C10&amp;"'"</f>
        <v>#REF!</v>
      </c>
    </row>
    <row r="11" spans="1:17" s="1" customFormat="1" x14ac:dyDescent="0.3">
      <c r="A11" s="2"/>
      <c r="B11" s="7" t="s">
        <v>500</v>
      </c>
      <c r="C11" s="9" t="s">
        <v>434</v>
      </c>
      <c r="D11" s="2" t="s">
        <v>500</v>
      </c>
      <c r="E11" s="2" t="s">
        <v>618</v>
      </c>
      <c r="F11" s="2">
        <v>10</v>
      </c>
      <c r="G11" s="2"/>
      <c r="I11" s="1" t="str">
        <f t="shared" si="0"/>
        <v>LOTNO</v>
      </c>
      <c r="J11" s="1" t="str">
        <f t="shared" si="1"/>
        <v>NVARCHAR2</v>
      </c>
      <c r="K11" s="1" t="str">
        <f t="shared" si="2"/>
        <v>(</v>
      </c>
      <c r="L11" s="1">
        <f t="shared" si="3"/>
        <v>10</v>
      </c>
      <c r="M11" s="1" t="str">
        <f t="shared" si="4"/>
        <v>)</v>
      </c>
      <c r="N11" s="1" t="str">
        <f t="shared" si="5"/>
        <v>NULL</v>
      </c>
      <c r="O11" s="1" t="s">
        <v>113</v>
      </c>
      <c r="Q11" s="1" t="e">
        <f>"EXEC SP_ADDEXTENDEDPROPERTY 'MS_Description', '"&amp;D11&amp;"', 'USER', dbo, 'TABLE', '"&amp;#REF!&amp;"', 'COLUMN', '"&amp;C11&amp;"'"</f>
        <v>#REF!</v>
      </c>
    </row>
    <row r="12" spans="1:17" s="1" customFormat="1" x14ac:dyDescent="0.3">
      <c r="A12" s="2"/>
      <c r="B12" s="4" t="s">
        <v>414</v>
      </c>
      <c r="C12" s="2" t="s">
        <v>400</v>
      </c>
      <c r="D12" s="2" t="s">
        <v>435</v>
      </c>
      <c r="E12" s="2" t="s">
        <v>618</v>
      </c>
      <c r="F12" s="2">
        <v>10</v>
      </c>
      <c r="G12" s="2"/>
      <c r="I12" s="1" t="str">
        <f t="shared" si="0"/>
        <v>INTERFACE_STATE</v>
      </c>
      <c r="J12" s="1" t="str">
        <f t="shared" si="1"/>
        <v>NVARCHAR2</v>
      </c>
      <c r="K12" s="1" t="str">
        <f t="shared" si="2"/>
        <v>(</v>
      </c>
      <c r="L12" s="1">
        <f t="shared" si="3"/>
        <v>10</v>
      </c>
      <c r="M12" s="1" t="str">
        <f t="shared" si="4"/>
        <v>)</v>
      </c>
      <c r="N12" s="1" t="str">
        <f t="shared" si="5"/>
        <v>NULL</v>
      </c>
      <c r="O12" s="1" t="s">
        <v>113</v>
      </c>
      <c r="Q12" s="1" t="e">
        <f>"EXEC SP_ADDEXTENDEDPROPERTY 'MS_Description', '"&amp;D12&amp;"', 'USER', dbo, 'TABLE', '"&amp;#REF!&amp;"', 'COLUMN', '"&amp;C12&amp;"'"</f>
        <v>#REF!</v>
      </c>
    </row>
    <row r="13" spans="1:17" x14ac:dyDescent="0.3">
      <c r="A13" s="2"/>
      <c r="B13" s="4" t="s">
        <v>444</v>
      </c>
      <c r="C13" s="2" t="s">
        <v>401</v>
      </c>
      <c r="D13" s="2" t="s">
        <v>64</v>
      </c>
      <c r="E13" s="2" t="s">
        <v>228</v>
      </c>
      <c r="F13" s="2"/>
      <c r="G13" s="2"/>
      <c r="H13" s="1"/>
      <c r="I13" s="1" t="str">
        <f t="shared" si="0"/>
        <v>INTERFACE_DT</v>
      </c>
      <c r="J13" s="1" t="str">
        <f t="shared" si="1"/>
        <v>DATE</v>
      </c>
      <c r="K13" s="1" t="str">
        <f t="shared" si="2"/>
        <v/>
      </c>
      <c r="L13" s="1" t="str">
        <f t="shared" si="3"/>
        <v/>
      </c>
      <c r="M13" s="1" t="str">
        <f t="shared" si="4"/>
        <v/>
      </c>
      <c r="N13" s="1" t="str">
        <f>IF(G13="N","NOT NULL","NULL")</f>
        <v>NULL</v>
      </c>
      <c r="O13" s="1" t="s">
        <v>113</v>
      </c>
      <c r="Q13" s="1" t="e">
        <f>"EXEC SP_ADDEXTENDEDPROPERTY 'MS_Description', '"&amp;D13&amp;"', 'USER', dbo, 'TABLE', '"&amp;#REF!&amp;"', 'COLUMN', '"&amp;C13&amp;"'"</f>
        <v>#REF!</v>
      </c>
    </row>
    <row r="14" spans="1:17" x14ac:dyDescent="0.3">
      <c r="A14" s="2"/>
      <c r="B14" s="6" t="s">
        <v>503</v>
      </c>
      <c r="C14" s="2" t="s">
        <v>379</v>
      </c>
      <c r="D14" s="2" t="s">
        <v>503</v>
      </c>
      <c r="E14" s="2" t="s">
        <v>618</v>
      </c>
      <c r="F14" s="2">
        <v>10</v>
      </c>
      <c r="G14" s="2"/>
      <c r="H14" s="1"/>
      <c r="I14" s="1" t="str">
        <f t="shared" si="0"/>
        <v>INTERFACE_GUBUN</v>
      </c>
      <c r="J14" s="1" t="str">
        <f t="shared" si="1"/>
        <v>NVARCHAR2</v>
      </c>
      <c r="K14" s="1" t="str">
        <f t="shared" si="2"/>
        <v>(</v>
      </c>
      <c r="L14" s="1">
        <f t="shared" si="3"/>
        <v>10</v>
      </c>
      <c r="M14" s="1" t="str">
        <f t="shared" si="4"/>
        <v>)</v>
      </c>
      <c r="N14" s="1" t="str">
        <f t="shared" ref="N14:N20" si="6">IF(G14="N","NOT NULL","NULL")</f>
        <v>NULL</v>
      </c>
      <c r="O14" s="1" t="s">
        <v>113</v>
      </c>
      <c r="P14" s="1"/>
      <c r="Q14" s="1" t="e">
        <f>"EXEC SP_ADDEXTENDEDPROPERTY 'MS_Description', '"&amp;D14&amp;"', 'USER', dbo, 'TABLE', '"&amp;#REF!&amp;"', 'COLUMN', '"&amp;C14&amp;"'"</f>
        <v>#REF!</v>
      </c>
    </row>
    <row r="15" spans="1:17" x14ac:dyDescent="0.3">
      <c r="A15" s="2"/>
      <c r="B15" s="7" t="s">
        <v>504</v>
      </c>
      <c r="C15" s="2" t="s">
        <v>517</v>
      </c>
      <c r="D15" s="2" t="s">
        <v>504</v>
      </c>
      <c r="E15" s="2" t="s">
        <v>618</v>
      </c>
      <c r="F15" s="2">
        <v>10</v>
      </c>
      <c r="G15" s="2"/>
      <c r="H15" s="1"/>
      <c r="I15" s="1" t="str">
        <f t="shared" si="0"/>
        <v>INTERFACE_ERR</v>
      </c>
      <c r="J15" s="1" t="str">
        <f t="shared" si="1"/>
        <v>NVARCHAR2</v>
      </c>
      <c r="K15" s="1" t="str">
        <f t="shared" si="2"/>
        <v>(</v>
      </c>
      <c r="L15" s="1">
        <f t="shared" si="3"/>
        <v>10</v>
      </c>
      <c r="M15" s="1" t="str">
        <f t="shared" si="4"/>
        <v>)</v>
      </c>
      <c r="N15" s="1" t="str">
        <f t="shared" si="6"/>
        <v>NULL</v>
      </c>
      <c r="O15" s="1" t="s">
        <v>113</v>
      </c>
      <c r="P15" s="1"/>
      <c r="Q15" s="1" t="e">
        <f>"EXEC SP_ADDEXTENDEDPROPERTY 'MS_Description', '"&amp;D15&amp;"', 'USER', dbo, 'TABLE', '"&amp;#REF!&amp;"', 'COLUMN', '"&amp;C15&amp;"'"</f>
        <v>#REF!</v>
      </c>
    </row>
    <row r="16" spans="1:17" x14ac:dyDescent="0.3">
      <c r="A16" s="2"/>
      <c r="B16" s="7" t="s">
        <v>501</v>
      </c>
      <c r="C16" s="2" t="s">
        <v>412</v>
      </c>
      <c r="D16" s="2" t="s">
        <v>501</v>
      </c>
      <c r="E16" s="2" t="s">
        <v>618</v>
      </c>
      <c r="F16" s="2" t="s">
        <v>109</v>
      </c>
      <c r="G16" s="2"/>
      <c r="H16" s="1"/>
      <c r="I16" s="1" t="str">
        <f t="shared" si="0"/>
        <v>ERR_MSG</v>
      </c>
      <c r="J16" s="1" t="str">
        <f t="shared" si="1"/>
        <v>NVARCHAR2</v>
      </c>
      <c r="K16" s="1" t="str">
        <f t="shared" si="2"/>
        <v>(</v>
      </c>
      <c r="L16" s="1" t="str">
        <f t="shared" si="3"/>
        <v>MAX</v>
      </c>
      <c r="M16" s="1" t="str">
        <f t="shared" si="4"/>
        <v>)</v>
      </c>
      <c r="N16" s="1" t="str">
        <f t="shared" si="6"/>
        <v>NULL</v>
      </c>
      <c r="O16" s="1" t="s">
        <v>113</v>
      </c>
      <c r="P16" s="1"/>
      <c r="Q16" s="1" t="e">
        <f>"EXEC SP_ADDEXTENDEDPROPERTY 'MS_Description', '"&amp;D16&amp;"', 'USER', dbo, 'TABLE', '"&amp;#REF!&amp;"', 'COLUMN', '"&amp;C16&amp;"'"</f>
        <v>#REF!</v>
      </c>
    </row>
    <row r="17" spans="1:17" x14ac:dyDescent="0.3">
      <c r="A17" s="2"/>
      <c r="B17" s="2" t="s">
        <v>111</v>
      </c>
      <c r="C17" s="2" t="s">
        <v>790</v>
      </c>
      <c r="D17" s="2" t="s">
        <v>188</v>
      </c>
      <c r="E17" s="2" t="s">
        <v>618</v>
      </c>
      <c r="F17" s="2">
        <v>20</v>
      </c>
      <c r="G17" s="2" t="s">
        <v>90</v>
      </c>
      <c r="H17" s="1"/>
      <c r="I17" s="1" t="str">
        <f>""&amp;C17&amp;""</f>
        <v>INITBY</v>
      </c>
      <c r="J17" s="1" t="str">
        <f>""&amp;E17&amp;""</f>
        <v>NVARCHAR2</v>
      </c>
      <c r="K17" s="1" t="str">
        <f t="shared" si="2"/>
        <v>(</v>
      </c>
      <c r="L17" s="1">
        <f t="shared" si="3"/>
        <v>20</v>
      </c>
      <c r="M17" s="1" t="str">
        <f t="shared" si="4"/>
        <v>)</v>
      </c>
      <c r="N17" s="1" t="str">
        <f t="shared" si="6"/>
        <v>NOT NULL</v>
      </c>
      <c r="O17" s="1" t="s">
        <v>113</v>
      </c>
      <c r="P17" s="1"/>
      <c r="Q17" s="1" t="e">
        <f>"EXEC SP_ADDEXTENDEDPROPERTY 'MS_Description', '"&amp;D17&amp;"', 'USER', dbo, 'TABLE', '"&amp;#REF!&amp;"', 'COLUMN', '"&amp;C17&amp;"'"</f>
        <v>#REF!</v>
      </c>
    </row>
    <row r="18" spans="1:17" x14ac:dyDescent="0.3">
      <c r="A18" s="2"/>
      <c r="B18" s="2" t="s">
        <v>254</v>
      </c>
      <c r="C18" s="2" t="s">
        <v>791</v>
      </c>
      <c r="D18" s="2" t="s">
        <v>254</v>
      </c>
      <c r="E18" s="2" t="s">
        <v>228</v>
      </c>
      <c r="F18" s="2"/>
      <c r="G18" s="2" t="s">
        <v>90</v>
      </c>
      <c r="H18" s="1"/>
      <c r="I18" s="1" t="str">
        <f>""&amp;C18&amp;""</f>
        <v>INITDTTM</v>
      </c>
      <c r="J18" s="1" t="str">
        <f>""&amp;E18&amp;""</f>
        <v>DATE</v>
      </c>
      <c r="K18" s="1" t="str">
        <f t="shared" si="2"/>
        <v/>
      </c>
      <c r="L18" s="1" t="str">
        <f t="shared" si="3"/>
        <v/>
      </c>
      <c r="M18" s="1" t="str">
        <f t="shared" si="4"/>
        <v/>
      </c>
      <c r="N18" s="1" t="str">
        <f t="shared" si="6"/>
        <v>NOT NULL</v>
      </c>
      <c r="O18" s="1" t="s">
        <v>113</v>
      </c>
      <c r="P18" s="1"/>
      <c r="Q18" s="1" t="e">
        <f>"EXEC SP_ADDEXTENDEDPROPERTY 'MS_Description', '"&amp;D18&amp;"', 'USER', dbo, 'TABLE', '"&amp;#REF!&amp;"', 'COLUMN', '"&amp;C18&amp;"'"</f>
        <v>#REF!</v>
      </c>
    </row>
    <row r="19" spans="1:17" x14ac:dyDescent="0.3">
      <c r="A19" s="2"/>
      <c r="B19" s="2" t="s">
        <v>99</v>
      </c>
      <c r="C19" s="2" t="s">
        <v>793</v>
      </c>
      <c r="D19" s="2" t="s">
        <v>197</v>
      </c>
      <c r="E19" s="2" t="s">
        <v>618</v>
      </c>
      <c r="F19" s="2">
        <v>20</v>
      </c>
      <c r="G19" s="2" t="s">
        <v>122</v>
      </c>
      <c r="H19" s="1"/>
      <c r="I19" s="1" t="str">
        <f>""&amp;C19&amp;""</f>
        <v>UPBY</v>
      </c>
      <c r="J19" s="1" t="str">
        <f>""&amp;E19&amp;""</f>
        <v>NVARCHAR2</v>
      </c>
      <c r="K19" s="1" t="str">
        <f t="shared" si="2"/>
        <v>(</v>
      </c>
      <c r="L19" s="1">
        <f t="shared" si="3"/>
        <v>20</v>
      </c>
      <c r="M19" s="1" t="str">
        <f t="shared" si="4"/>
        <v>)</v>
      </c>
      <c r="N19" s="1" t="str">
        <f t="shared" si="6"/>
        <v>NULL</v>
      </c>
      <c r="O19" s="1" t="s">
        <v>113</v>
      </c>
      <c r="P19" s="1"/>
      <c r="Q19" s="1" t="e">
        <f>"EXEC SP_ADDEXTENDEDPROPERTY 'MS_Description', '"&amp;D19&amp;"', 'USER', dbo, 'TABLE', '"&amp;#REF!&amp;"', 'COLUMN', '"&amp;C19&amp;"'"</f>
        <v>#REF!</v>
      </c>
    </row>
    <row r="20" spans="1:17" x14ac:dyDescent="0.3">
      <c r="A20" s="2"/>
      <c r="B20" s="2" t="s">
        <v>259</v>
      </c>
      <c r="C20" s="2" t="s">
        <v>792</v>
      </c>
      <c r="D20" s="2" t="s">
        <v>259</v>
      </c>
      <c r="E20" s="2" t="s">
        <v>228</v>
      </c>
      <c r="F20" s="2"/>
      <c r="G20" s="2" t="s">
        <v>122</v>
      </c>
      <c r="H20" s="1"/>
      <c r="I20" s="1" t="str">
        <f>""&amp;C20&amp;""</f>
        <v>UPDTTM</v>
      </c>
      <c r="J20" s="1" t="str">
        <f>""&amp;E20&amp;""</f>
        <v>DATE</v>
      </c>
      <c r="K20" s="1" t="str">
        <f t="shared" si="2"/>
        <v/>
      </c>
      <c r="L20" s="1" t="str">
        <f t="shared" si="3"/>
        <v/>
      </c>
      <c r="M20" s="1" t="str">
        <f t="shared" si="4"/>
        <v/>
      </c>
      <c r="N20" s="1" t="str">
        <f t="shared" si="6"/>
        <v>NULL</v>
      </c>
      <c r="O20" s="1" t="s">
        <v>113</v>
      </c>
      <c r="P20" s="1"/>
      <c r="Q20" s="1" t="e">
        <f>"EXEC SP_ADDEXTENDEDPROPERTY 'MS_Description', '"&amp;D20&amp;"', 'USER', dbo, 'TABLE', '"&amp;#REF!&amp;"', 'COLUMN', '"&amp;C20&amp;"'"</f>
        <v>#REF!</v>
      </c>
    </row>
    <row r="21" spans="1:17" x14ac:dyDescent="0.3">
      <c r="I21" t="str">
        <f>"CONSTRAINT PK__"&amp;C3&amp;" PRIMARY KEY CLUSTERED("</f>
        <v>CONSTRAINT PK__STOCK_CHANGE PRIMARY KEY CLUSTERED(</v>
      </c>
    </row>
    <row r="22" spans="1:17" x14ac:dyDescent="0.3">
      <c r="I22" t="str">
        <f>IF(A13="Y",C13,"")</f>
        <v/>
      </c>
      <c r="J22" s="1" t="str">
        <f>IF(A13="Y","ASC","")</f>
        <v/>
      </c>
      <c r="K22" s="3" t="str">
        <f>IF(A13="Y",",","")</f>
        <v/>
      </c>
      <c r="L22" s="3"/>
      <c r="M22" s="3"/>
      <c r="N22" s="3"/>
    </row>
    <row r="23" spans="1:17" x14ac:dyDescent="0.3">
      <c r="I23" s="1" t="str">
        <f>IF(A14="Y",C14,"")</f>
        <v/>
      </c>
      <c r="J23" s="1" t="str">
        <f>IF(A14="Y","ASC","")</f>
        <v/>
      </c>
      <c r="K23" s="1" t="str">
        <f>IF(A14="Y",",","")</f>
        <v/>
      </c>
      <c r="L23" s="1"/>
      <c r="M23" s="1"/>
      <c r="N23" s="1"/>
    </row>
    <row r="24" spans="1:17" x14ac:dyDescent="0.3">
      <c r="I24" s="1" t="str">
        <f>IF(A15="Y",C15,"")</f>
        <v/>
      </c>
      <c r="J24" s="1" t="str">
        <f>IF(A15="Y","ASC","")</f>
        <v/>
      </c>
      <c r="K24" s="1" t="str">
        <f>IF(A15="Y",",","")</f>
        <v/>
      </c>
      <c r="L24" s="1"/>
      <c r="M24" s="1"/>
      <c r="N24" s="1"/>
    </row>
    <row r="25" spans="1:17" x14ac:dyDescent="0.3">
      <c r="I25" s="1" t="str">
        <f>IF(A16="Y",C16,"")</f>
        <v/>
      </c>
      <c r="J25" s="1" t="str">
        <f>IF(A16="Y","ASC","")</f>
        <v/>
      </c>
      <c r="K25" s="1" t="str">
        <f>IF(A16="Y",",","")</f>
        <v/>
      </c>
      <c r="L25" s="1"/>
      <c r="M25" s="1"/>
      <c r="N25" s="1"/>
    </row>
    <row r="26" spans="1:17" x14ac:dyDescent="0.3">
      <c r="I26" s="1" t="e">
        <f>IF(#REF!="Y",#REF!,"")</f>
        <v>#REF!</v>
      </c>
      <c r="J26" s="1" t="e">
        <f>IF(#REF!="Y","ASC","")</f>
        <v>#REF!</v>
      </c>
      <c r="K26" s="1" t="e">
        <f>IF(#REF!="Y",",","")</f>
        <v>#REF!</v>
      </c>
      <c r="L26" s="1"/>
      <c r="M26" s="1"/>
      <c r="N26" s="1"/>
    </row>
    <row r="27" spans="1:17" x14ac:dyDescent="0.3">
      <c r="I27" s="1" t="e">
        <f>IF(#REF!="Y",#REF!,"")</f>
        <v>#REF!</v>
      </c>
      <c r="J27" s="1" t="e">
        <f>IF(#REF!="Y","ASC","")</f>
        <v>#REF!</v>
      </c>
      <c r="K27" s="1" t="e">
        <f>IF(#REF!="Y",",","")</f>
        <v>#REF!</v>
      </c>
      <c r="L27" s="1"/>
      <c r="M27" s="1"/>
      <c r="N27" s="1"/>
    </row>
    <row r="28" spans="1:17" x14ac:dyDescent="0.3">
      <c r="I28" s="1" t="e">
        <f>IF(#REF!="Y",#REF!,"")</f>
        <v>#REF!</v>
      </c>
      <c r="J28" s="1" t="e">
        <f>IF(#REF!="Y","ASC","")</f>
        <v>#REF!</v>
      </c>
      <c r="K28" s="1" t="e">
        <f>IF(#REF!="Y",",","")</f>
        <v>#REF!</v>
      </c>
      <c r="L28" s="1"/>
      <c r="M28" s="1"/>
      <c r="N28" s="1"/>
    </row>
    <row r="29" spans="1:17" x14ac:dyDescent="0.3">
      <c r="I29" t="s">
        <v>66</v>
      </c>
    </row>
    <row r="30" spans="1:17" x14ac:dyDescent="0.3">
      <c r="I30" t="s">
        <v>193</v>
      </c>
    </row>
  </sheetData>
  <phoneticPr fontId="7" type="noConversion"/>
  <hyperlinks>
    <hyperlink ref="A1" location="리스트!A1" display="리스트로 이동" xr:uid="{ED4DE396-795D-49D3-9A19-63C78C1557D1}"/>
  </hyperlinks>
  <pageMargins left="0.74805557727813721" right="0.74805557727813721" top="0.98430556058883667" bottom="0.98430556058883667" header="0.51166665554046631" footer="0.51166665554046631"/>
  <pageSetup paperSize="9" fitToWidth="0" fitToHeight="0" orientation="portrait" horizontalDpi="0" verticalDpi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Q27"/>
  <sheetViews>
    <sheetView zoomScaleNormal="100" zoomScaleSheetLayoutView="100" workbookViewId="0"/>
  </sheetViews>
  <sheetFormatPr defaultColWidth="9" defaultRowHeight="16.5" x14ac:dyDescent="0.3"/>
  <cols>
    <col min="1" max="1" width="8.625" bestFit="1" customWidth="1"/>
    <col min="2" max="2" width="13.75" bestFit="1" customWidth="1"/>
    <col min="3" max="3" width="14.125" bestFit="1" customWidth="1"/>
    <col min="4" max="4" width="19.375" bestFit="1" customWidth="1"/>
    <col min="5" max="5" width="12.75" bestFit="1" customWidth="1"/>
    <col min="6" max="6" width="6.75" bestFit="1" customWidth="1"/>
    <col min="7" max="7" width="9" bestFit="1" customWidth="1"/>
    <col min="9" max="10" width="16.875" customWidth="1"/>
    <col min="11" max="11" width="1.625" bestFit="1" customWidth="1"/>
    <col min="12" max="12" width="3" bestFit="1" customWidth="1"/>
    <col min="13" max="13" width="1.625" bestFit="1" customWidth="1"/>
    <col min="14" max="15" width="10.125" bestFit="1" customWidth="1"/>
    <col min="16" max="16" width="16.875" customWidth="1"/>
  </cols>
  <sheetData>
    <row r="1" spans="1:17" x14ac:dyDescent="0.3">
      <c r="A1" s="16" t="s">
        <v>615</v>
      </c>
    </row>
    <row r="2" spans="1:17" x14ac:dyDescent="0.3">
      <c r="A2" s="2"/>
      <c r="B2" s="2" t="s">
        <v>116</v>
      </c>
      <c r="C2" s="2" t="s">
        <v>119</v>
      </c>
      <c r="D2" s="2" t="s">
        <v>112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3">
      <c r="A3" s="2"/>
      <c r="B3" s="2" t="s">
        <v>86</v>
      </c>
      <c r="C3" s="2" t="s">
        <v>258</v>
      </c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 t="s">
        <v>256</v>
      </c>
    </row>
    <row r="5" spans="1:17" x14ac:dyDescent="0.3">
      <c r="A5" s="2" t="s">
        <v>88</v>
      </c>
      <c r="B5" s="2" t="s">
        <v>215</v>
      </c>
      <c r="C5" s="2" t="s">
        <v>252</v>
      </c>
      <c r="D5" s="2" t="s">
        <v>169</v>
      </c>
      <c r="E5" s="2" t="s">
        <v>265</v>
      </c>
      <c r="F5" s="2" t="s">
        <v>101</v>
      </c>
      <c r="G5" s="2" t="s">
        <v>205</v>
      </c>
      <c r="H5" s="1"/>
      <c r="I5" s="1" t="str">
        <f>"CREATE TABLE "&amp;C3&amp;" ("</f>
        <v>CREATE TABLE STOCK (</v>
      </c>
      <c r="J5" s="1"/>
      <c r="K5" s="1"/>
      <c r="L5" s="1"/>
      <c r="M5" s="1"/>
      <c r="N5" s="1"/>
      <c r="O5" s="1"/>
      <c r="P5" s="1"/>
      <c r="Q5" s="1"/>
    </row>
    <row r="6" spans="1:17" s="1" customFormat="1" x14ac:dyDescent="0.3">
      <c r="A6" s="2"/>
      <c r="B6" s="9" t="s">
        <v>466</v>
      </c>
      <c r="C6" s="2" t="s">
        <v>149</v>
      </c>
      <c r="D6" s="2" t="s">
        <v>482</v>
      </c>
      <c r="E6" s="2" t="s">
        <v>618</v>
      </c>
      <c r="F6" s="2">
        <v>20</v>
      </c>
      <c r="G6" s="2" t="s">
        <v>90</v>
      </c>
      <c r="I6" s="1" t="str">
        <f t="shared" ref="I6:I13" si="0">""&amp;C6&amp;""</f>
        <v>MATERIAL_ID</v>
      </c>
      <c r="J6" s="1" t="str">
        <f t="shared" ref="J6:J13" si="1">""&amp;E6&amp;""</f>
        <v>NVARCHAR2</v>
      </c>
      <c r="K6" s="1" t="str">
        <f t="shared" ref="K6:K17" si="2">IF(F6="","","(")</f>
        <v>(</v>
      </c>
      <c r="L6" s="1">
        <f t="shared" ref="L6:L17" si="3">IF(F6="","",F6)</f>
        <v>20</v>
      </c>
      <c r="M6" s="1" t="str">
        <f t="shared" ref="M6:M17" si="4">IF(F6="","",")")</f>
        <v>)</v>
      </c>
      <c r="N6" s="1" t="str">
        <f>IF(G6="N","NOT NULL","NULL")</f>
        <v>NOT NULL</v>
      </c>
      <c r="O6" s="1" t="s">
        <v>113</v>
      </c>
      <c r="Q6" s="1" t="e">
        <f>"EXEC SP_ADDEXTENDEDPROPERTY 'MS_Description', '"&amp;D6&amp;"', 'USER', dbo, 'TABLE', '"&amp;#REF!&amp;"', 'COLUMN', '"&amp;C6&amp;"'"</f>
        <v>#REF!</v>
      </c>
    </row>
    <row r="7" spans="1:17" x14ac:dyDescent="0.3">
      <c r="A7" s="2"/>
      <c r="B7" s="9" t="s">
        <v>467</v>
      </c>
      <c r="C7" s="2" t="s">
        <v>423</v>
      </c>
      <c r="D7" s="9" t="s">
        <v>467</v>
      </c>
      <c r="E7" s="2" t="s">
        <v>618</v>
      </c>
      <c r="F7" s="2">
        <v>10</v>
      </c>
      <c r="G7" s="2"/>
      <c r="H7" s="1"/>
      <c r="I7" s="1" t="str">
        <f t="shared" si="0"/>
        <v>STOCK_LOG</v>
      </c>
      <c r="J7" s="1" t="str">
        <f t="shared" si="1"/>
        <v>NVARCHAR2</v>
      </c>
      <c r="K7" s="1" t="str">
        <f t="shared" si="2"/>
        <v>(</v>
      </c>
      <c r="L7" s="1">
        <f t="shared" si="3"/>
        <v>10</v>
      </c>
      <c r="M7" s="1" t="str">
        <f t="shared" si="4"/>
        <v>)</v>
      </c>
      <c r="N7" s="1" t="str">
        <f>IF(G7="N","NOT NULL","NULL")</f>
        <v>NULL</v>
      </c>
      <c r="O7" s="1" t="s">
        <v>113</v>
      </c>
      <c r="Q7" s="1" t="e">
        <f>"EXEC SP_ADDEXTENDEDPROPERTY 'MS_Description', '"&amp;D7&amp;"', 'USER', dbo, 'TABLE', '"&amp;#REF!&amp;"', 'COLUMN', '"&amp;C7&amp;"'"</f>
        <v>#REF!</v>
      </c>
    </row>
    <row r="8" spans="1:17" x14ac:dyDescent="0.3">
      <c r="A8" s="2"/>
      <c r="B8" s="9" t="s">
        <v>465</v>
      </c>
      <c r="C8" s="2" t="s">
        <v>498</v>
      </c>
      <c r="D8" s="9" t="s">
        <v>465</v>
      </c>
      <c r="E8" s="2" t="s">
        <v>545</v>
      </c>
      <c r="F8" s="2" t="s">
        <v>499</v>
      </c>
      <c r="G8" s="2"/>
      <c r="H8" s="1"/>
      <c r="I8" s="1" t="str">
        <f t="shared" si="0"/>
        <v>PRE_QTY</v>
      </c>
      <c r="J8" s="1" t="str">
        <f t="shared" si="1"/>
        <v>NUMBER</v>
      </c>
      <c r="K8" s="1" t="str">
        <f t="shared" si="2"/>
        <v>(</v>
      </c>
      <c r="L8" s="1" t="str">
        <f t="shared" si="3"/>
        <v>24,8</v>
      </c>
      <c r="M8" s="1" t="str">
        <f t="shared" si="4"/>
        <v>)</v>
      </c>
      <c r="N8" s="1" t="str">
        <f t="shared" ref="N8:N17" si="5">IF(G8="N","NOT NULL","NULL")</f>
        <v>NULL</v>
      </c>
      <c r="O8" s="1" t="s">
        <v>113</v>
      </c>
      <c r="P8" s="1"/>
      <c r="Q8" s="1" t="e">
        <f>"EXEC SP_ADDEXTENDEDPROPERTY 'MS_Description', '"&amp;D8&amp;"', 'USER', dbo, 'TABLE', '"&amp;#REF!&amp;"', 'COLUMN', '"&amp;C8&amp;"'"</f>
        <v>#REF!</v>
      </c>
    </row>
    <row r="9" spans="1:17" x14ac:dyDescent="0.3">
      <c r="A9" s="2"/>
      <c r="B9" s="9" t="s">
        <v>469</v>
      </c>
      <c r="C9" s="2" t="s">
        <v>420</v>
      </c>
      <c r="D9" s="9" t="s">
        <v>469</v>
      </c>
      <c r="E9" s="2" t="s">
        <v>545</v>
      </c>
      <c r="F9" s="2" t="s">
        <v>499</v>
      </c>
      <c r="G9" s="2"/>
      <c r="H9" s="1"/>
      <c r="I9" s="1" t="str">
        <f t="shared" si="0"/>
        <v>ASS_QTY</v>
      </c>
      <c r="J9" s="1" t="str">
        <f t="shared" si="1"/>
        <v>NUMBER</v>
      </c>
      <c r="K9" s="1" t="str">
        <f t="shared" si="2"/>
        <v>(</v>
      </c>
      <c r="L9" s="1" t="str">
        <f t="shared" si="3"/>
        <v>24,8</v>
      </c>
      <c r="M9" s="1" t="str">
        <f t="shared" si="4"/>
        <v>)</v>
      </c>
      <c r="N9" s="1" t="str">
        <f t="shared" si="5"/>
        <v>NULL</v>
      </c>
      <c r="O9" s="1" t="s">
        <v>113</v>
      </c>
      <c r="P9" s="1"/>
      <c r="Q9" s="1" t="e">
        <f>"EXEC SP_ADDEXTENDEDPROPERTY 'MS_Description', '"&amp;D9&amp;"', 'USER', dbo, 'TABLE', '"&amp;#REF!&amp;"', 'COLUMN', '"&amp;C9&amp;"'"</f>
        <v>#REF!</v>
      </c>
    </row>
    <row r="10" spans="1:17" x14ac:dyDescent="0.3">
      <c r="A10" s="2"/>
      <c r="B10" s="9" t="s">
        <v>468</v>
      </c>
      <c r="C10" s="2" t="s">
        <v>490</v>
      </c>
      <c r="D10" s="9" t="s">
        <v>468</v>
      </c>
      <c r="E10" s="2" t="s">
        <v>545</v>
      </c>
      <c r="F10" s="2" t="s">
        <v>499</v>
      </c>
      <c r="G10" s="2"/>
      <c r="H10" s="1"/>
      <c r="I10" s="1" t="str">
        <f t="shared" si="0"/>
        <v>AVA_QTY</v>
      </c>
      <c r="J10" s="1" t="str">
        <f t="shared" si="1"/>
        <v>NUMBER</v>
      </c>
      <c r="K10" s="1" t="str">
        <f t="shared" si="2"/>
        <v>(</v>
      </c>
      <c r="L10" s="1" t="str">
        <f t="shared" si="3"/>
        <v>24,8</v>
      </c>
      <c r="M10" s="1" t="str">
        <f t="shared" si="4"/>
        <v>)</v>
      </c>
      <c r="N10" s="1" t="str">
        <f t="shared" si="5"/>
        <v>NULL</v>
      </c>
      <c r="O10" s="1" t="s">
        <v>113</v>
      </c>
      <c r="P10" s="1"/>
      <c r="Q10" s="1" t="e">
        <f>"EXEC SP_ADDEXTENDEDPROPERTY 'MS_Description', '"&amp;D10&amp;"', 'USER', dbo, 'TABLE', '"&amp;#REF!&amp;"', 'COLUMN', '"&amp;C10&amp;"'"</f>
        <v>#REF!</v>
      </c>
    </row>
    <row r="11" spans="1:17" x14ac:dyDescent="0.3">
      <c r="A11" s="2"/>
      <c r="B11" s="9" t="s">
        <v>470</v>
      </c>
      <c r="C11" s="2" t="s">
        <v>427</v>
      </c>
      <c r="D11" s="9" t="s">
        <v>470</v>
      </c>
      <c r="E11" s="2" t="s">
        <v>618</v>
      </c>
      <c r="F11" s="2">
        <v>10</v>
      </c>
      <c r="G11" s="2"/>
      <c r="H11" s="1"/>
      <c r="I11" s="1" t="str">
        <f t="shared" si="0"/>
        <v>LOCATION</v>
      </c>
      <c r="J11" s="1" t="str">
        <f t="shared" si="1"/>
        <v>NVARCHAR2</v>
      </c>
      <c r="K11" s="1" t="str">
        <f t="shared" si="2"/>
        <v>(</v>
      </c>
      <c r="L11" s="1">
        <f t="shared" si="3"/>
        <v>10</v>
      </c>
      <c r="M11" s="1" t="str">
        <f t="shared" si="4"/>
        <v>)</v>
      </c>
      <c r="N11" s="1" t="str">
        <f t="shared" si="5"/>
        <v>NULL</v>
      </c>
      <c r="O11" s="1" t="s">
        <v>113</v>
      </c>
      <c r="P11" s="1"/>
      <c r="Q11" s="1" t="e">
        <f>"EXEC SP_ADDEXTENDEDPROPERTY 'MS_Description', '"&amp;D11&amp;"', 'USER', dbo, 'TABLE', '"&amp;#REF!&amp;"', 'COLUMN', '"&amp;C11&amp;"'"</f>
        <v>#REF!</v>
      </c>
    </row>
    <row r="12" spans="1:17" x14ac:dyDescent="0.3">
      <c r="A12" s="2"/>
      <c r="B12" s="9" t="s">
        <v>471</v>
      </c>
      <c r="C12" s="2" t="s">
        <v>320</v>
      </c>
      <c r="D12" s="9" t="s">
        <v>471</v>
      </c>
      <c r="E12" s="2" t="s">
        <v>618</v>
      </c>
      <c r="F12" s="2">
        <v>50</v>
      </c>
      <c r="G12" s="2"/>
      <c r="H12" s="1"/>
      <c r="I12" s="1" t="str">
        <f t="shared" si="0"/>
        <v>LOCATION_DEC</v>
      </c>
      <c r="J12" s="1" t="str">
        <f t="shared" si="1"/>
        <v>NVARCHAR2</v>
      </c>
      <c r="K12" s="1" t="str">
        <f t="shared" si="2"/>
        <v>(</v>
      </c>
      <c r="L12" s="1">
        <f t="shared" si="3"/>
        <v>50</v>
      </c>
      <c r="M12" s="1" t="str">
        <f t="shared" si="4"/>
        <v>)</v>
      </c>
      <c r="N12" s="1" t="str">
        <f t="shared" si="5"/>
        <v>NULL</v>
      </c>
      <c r="O12" s="1" t="s">
        <v>113</v>
      </c>
      <c r="P12" s="1"/>
      <c r="Q12" s="1" t="e">
        <f>"EXEC SP_ADDEXTENDEDPROPERTY 'MS_Description', '"&amp;D12&amp;"', 'USER', dbo, 'TABLE', '"&amp;#REF!&amp;"', 'COLUMN', '"&amp;C12&amp;"'"</f>
        <v>#REF!</v>
      </c>
    </row>
    <row r="13" spans="1:17" x14ac:dyDescent="0.3">
      <c r="A13" s="2"/>
      <c r="B13" s="9" t="s">
        <v>500</v>
      </c>
      <c r="C13" s="2" t="s">
        <v>434</v>
      </c>
      <c r="D13" s="9" t="s">
        <v>500</v>
      </c>
      <c r="E13" s="2" t="s">
        <v>618</v>
      </c>
      <c r="F13" s="2">
        <v>10</v>
      </c>
      <c r="G13" s="2"/>
      <c r="H13" s="1"/>
      <c r="I13" s="1" t="str">
        <f t="shared" si="0"/>
        <v>LOTNO</v>
      </c>
      <c r="J13" s="1" t="str">
        <f t="shared" si="1"/>
        <v>NVARCHAR2</v>
      </c>
      <c r="K13" s="1" t="str">
        <f t="shared" si="2"/>
        <v>(</v>
      </c>
      <c r="L13" s="1">
        <f t="shared" si="3"/>
        <v>10</v>
      </c>
      <c r="M13" s="1" t="str">
        <f t="shared" si="4"/>
        <v>)</v>
      </c>
      <c r="N13" s="1" t="str">
        <f t="shared" si="5"/>
        <v>NULL</v>
      </c>
      <c r="O13" s="1" t="s">
        <v>113</v>
      </c>
      <c r="P13" s="1"/>
      <c r="Q13" s="1" t="e">
        <f>"EXEC SP_ADDEXTENDEDPROPERTY 'MS_Description', '"&amp;D13&amp;"', 'USER', dbo, 'TABLE', '"&amp;#REF!&amp;"', 'COLUMN', '"&amp;C13&amp;"'"</f>
        <v>#REF!</v>
      </c>
    </row>
    <row r="14" spans="1:17" x14ac:dyDescent="0.3">
      <c r="A14" s="2"/>
      <c r="B14" s="2" t="s">
        <v>111</v>
      </c>
      <c r="C14" s="2" t="s">
        <v>790</v>
      </c>
      <c r="D14" s="2" t="s">
        <v>188</v>
      </c>
      <c r="E14" s="2" t="s">
        <v>618</v>
      </c>
      <c r="F14" s="2">
        <v>20</v>
      </c>
      <c r="G14" s="2" t="s">
        <v>90</v>
      </c>
      <c r="H14" s="1"/>
      <c r="I14" s="1" t="str">
        <f>""&amp;C14&amp;""</f>
        <v>INITBY</v>
      </c>
      <c r="J14" s="1" t="str">
        <f>""&amp;E14&amp;""</f>
        <v>NVARCHAR2</v>
      </c>
      <c r="K14" s="1" t="str">
        <f t="shared" si="2"/>
        <v>(</v>
      </c>
      <c r="L14" s="1">
        <f t="shared" si="3"/>
        <v>20</v>
      </c>
      <c r="M14" s="1" t="str">
        <f t="shared" si="4"/>
        <v>)</v>
      </c>
      <c r="N14" s="1" t="str">
        <f t="shared" si="5"/>
        <v>NOT NULL</v>
      </c>
      <c r="O14" s="1" t="s">
        <v>113</v>
      </c>
      <c r="P14" s="1"/>
      <c r="Q14" s="1" t="e">
        <f>"EXEC SP_ADDEXTENDEDPROPERTY 'MS_Description', '"&amp;D14&amp;"', 'USER', dbo, 'TABLE', '"&amp;#REF!&amp;"', 'COLUMN', '"&amp;C14&amp;"'"</f>
        <v>#REF!</v>
      </c>
    </row>
    <row r="15" spans="1:17" x14ac:dyDescent="0.3">
      <c r="A15" s="2"/>
      <c r="B15" s="2" t="s">
        <v>254</v>
      </c>
      <c r="C15" s="2" t="s">
        <v>791</v>
      </c>
      <c r="D15" s="2" t="s">
        <v>254</v>
      </c>
      <c r="E15" s="2" t="s">
        <v>228</v>
      </c>
      <c r="F15" s="2"/>
      <c r="G15" s="2" t="s">
        <v>90</v>
      </c>
      <c r="H15" s="1"/>
      <c r="I15" s="1" t="str">
        <f>""&amp;C15&amp;""</f>
        <v>INITDTTM</v>
      </c>
      <c r="J15" s="1" t="str">
        <f>""&amp;E15&amp;""</f>
        <v>DATE</v>
      </c>
      <c r="K15" s="1" t="str">
        <f t="shared" si="2"/>
        <v/>
      </c>
      <c r="L15" s="1" t="str">
        <f t="shared" si="3"/>
        <v/>
      </c>
      <c r="M15" s="1" t="str">
        <f t="shared" si="4"/>
        <v/>
      </c>
      <c r="N15" s="1" t="str">
        <f t="shared" si="5"/>
        <v>NOT NULL</v>
      </c>
      <c r="O15" s="1" t="s">
        <v>113</v>
      </c>
      <c r="P15" s="1"/>
      <c r="Q15" s="1" t="e">
        <f>"EXEC SP_ADDEXTENDEDPROPERTY 'MS_Description', '"&amp;D15&amp;"', 'USER', dbo, 'TABLE', '"&amp;#REF!&amp;"', 'COLUMN', '"&amp;C15&amp;"'"</f>
        <v>#REF!</v>
      </c>
    </row>
    <row r="16" spans="1:17" x14ac:dyDescent="0.3">
      <c r="A16" s="2"/>
      <c r="B16" s="2" t="s">
        <v>99</v>
      </c>
      <c r="C16" s="2" t="s">
        <v>793</v>
      </c>
      <c r="D16" s="2" t="s">
        <v>197</v>
      </c>
      <c r="E16" s="2" t="s">
        <v>618</v>
      </c>
      <c r="F16" s="2">
        <v>20</v>
      </c>
      <c r="G16" s="2" t="s">
        <v>122</v>
      </c>
      <c r="H16" s="1"/>
      <c r="I16" s="1" t="str">
        <f>""&amp;C16&amp;""</f>
        <v>UPBY</v>
      </c>
      <c r="J16" s="1" t="str">
        <f>""&amp;E16&amp;""</f>
        <v>NVARCHAR2</v>
      </c>
      <c r="K16" s="1" t="str">
        <f t="shared" si="2"/>
        <v>(</v>
      </c>
      <c r="L16" s="1">
        <f t="shared" si="3"/>
        <v>20</v>
      </c>
      <c r="M16" s="1" t="str">
        <f t="shared" si="4"/>
        <v>)</v>
      </c>
      <c r="N16" s="1" t="str">
        <f t="shared" si="5"/>
        <v>NULL</v>
      </c>
      <c r="O16" s="1" t="s">
        <v>113</v>
      </c>
      <c r="P16" s="1"/>
      <c r="Q16" s="1" t="e">
        <f>"EXEC SP_ADDEXTENDEDPROPERTY 'MS_Description', '"&amp;D16&amp;"', 'USER', dbo, 'TABLE', '"&amp;#REF!&amp;"', 'COLUMN', '"&amp;C16&amp;"'"</f>
        <v>#REF!</v>
      </c>
    </row>
    <row r="17" spans="1:17" x14ac:dyDescent="0.3">
      <c r="A17" s="2"/>
      <c r="B17" s="2" t="s">
        <v>259</v>
      </c>
      <c r="C17" s="2" t="s">
        <v>792</v>
      </c>
      <c r="D17" s="2" t="s">
        <v>259</v>
      </c>
      <c r="E17" s="2" t="s">
        <v>228</v>
      </c>
      <c r="F17" s="2"/>
      <c r="G17" s="2" t="s">
        <v>122</v>
      </c>
      <c r="H17" s="1"/>
      <c r="I17" s="1" t="str">
        <f>""&amp;C17&amp;""</f>
        <v>UPDTTM</v>
      </c>
      <c r="J17" s="1" t="str">
        <f>""&amp;E17&amp;""</f>
        <v>DATE</v>
      </c>
      <c r="K17" s="1" t="str">
        <f t="shared" si="2"/>
        <v/>
      </c>
      <c r="L17" s="1" t="str">
        <f t="shared" si="3"/>
        <v/>
      </c>
      <c r="M17" s="1" t="str">
        <f t="shared" si="4"/>
        <v/>
      </c>
      <c r="N17" s="1" t="str">
        <f t="shared" si="5"/>
        <v>NULL</v>
      </c>
      <c r="O17" s="1" t="s">
        <v>113</v>
      </c>
      <c r="P17" s="1"/>
      <c r="Q17" s="1" t="e">
        <f>"EXEC SP_ADDEXTENDEDPROPERTY 'MS_Description', '"&amp;D17&amp;"', 'USER', dbo, 'TABLE', '"&amp;#REF!&amp;"', 'COLUMN', '"&amp;C17&amp;"'"</f>
        <v>#REF!</v>
      </c>
    </row>
    <row r="18" spans="1:17" x14ac:dyDescent="0.3">
      <c r="I18" t="str">
        <f>"CONSTRAINT PK__"&amp;C3&amp;" PRIMARY KEY CLUSTERED("</f>
        <v>CONSTRAINT PK__STOCK PRIMARY KEY CLUSTERED(</v>
      </c>
    </row>
    <row r="19" spans="1:17" x14ac:dyDescent="0.3">
      <c r="I19" t="str">
        <f t="shared" ref="I19:I25" si="6">IF(A7="Y",C7,"")</f>
        <v/>
      </c>
      <c r="J19" s="1" t="str">
        <f t="shared" ref="J19:J25" si="7">IF(A7="Y","ASC","")</f>
        <v/>
      </c>
      <c r="K19" s="3" t="str">
        <f t="shared" ref="K19:K25" si="8">IF(A7="Y",",","")</f>
        <v/>
      </c>
      <c r="L19" s="3"/>
      <c r="M19" s="3"/>
      <c r="N19" s="3"/>
    </row>
    <row r="20" spans="1:17" x14ac:dyDescent="0.3">
      <c r="I20" s="1" t="str">
        <f t="shared" si="6"/>
        <v/>
      </c>
      <c r="J20" s="1" t="str">
        <f t="shared" si="7"/>
        <v/>
      </c>
      <c r="K20" s="1" t="str">
        <f t="shared" si="8"/>
        <v/>
      </c>
      <c r="L20" s="1"/>
      <c r="M20" s="1"/>
      <c r="N20" s="1"/>
    </row>
    <row r="21" spans="1:17" x14ac:dyDescent="0.3">
      <c r="I21" s="1" t="str">
        <f t="shared" si="6"/>
        <v/>
      </c>
      <c r="J21" s="1" t="str">
        <f t="shared" si="7"/>
        <v/>
      </c>
      <c r="K21" s="1" t="str">
        <f t="shared" si="8"/>
        <v/>
      </c>
      <c r="L21" s="1"/>
      <c r="M21" s="1"/>
      <c r="N21" s="1"/>
    </row>
    <row r="22" spans="1:17" x14ac:dyDescent="0.3">
      <c r="I22" s="1" t="str">
        <f t="shared" si="6"/>
        <v/>
      </c>
      <c r="J22" s="1" t="str">
        <f t="shared" si="7"/>
        <v/>
      </c>
      <c r="K22" s="1" t="str">
        <f t="shared" si="8"/>
        <v/>
      </c>
      <c r="L22" s="1"/>
      <c r="M22" s="1"/>
      <c r="N22" s="1"/>
    </row>
    <row r="23" spans="1:17" x14ac:dyDescent="0.3">
      <c r="I23" s="1" t="str">
        <f t="shared" si="6"/>
        <v/>
      </c>
      <c r="J23" s="1" t="str">
        <f t="shared" si="7"/>
        <v/>
      </c>
      <c r="K23" s="1" t="str">
        <f t="shared" si="8"/>
        <v/>
      </c>
      <c r="L23" s="1"/>
      <c r="M23" s="1"/>
      <c r="N23" s="1"/>
    </row>
    <row r="24" spans="1:17" x14ac:dyDescent="0.3">
      <c r="I24" s="1" t="str">
        <f t="shared" si="6"/>
        <v/>
      </c>
      <c r="J24" s="1" t="str">
        <f t="shared" si="7"/>
        <v/>
      </c>
      <c r="K24" s="1" t="str">
        <f t="shared" si="8"/>
        <v/>
      </c>
      <c r="L24" s="1"/>
      <c r="M24" s="1"/>
      <c r="N24" s="1"/>
    </row>
    <row r="25" spans="1:17" x14ac:dyDescent="0.3">
      <c r="I25" s="1" t="str">
        <f t="shared" si="6"/>
        <v/>
      </c>
      <c r="J25" s="1" t="str">
        <f t="shared" si="7"/>
        <v/>
      </c>
      <c r="K25" s="1" t="str">
        <f t="shared" si="8"/>
        <v/>
      </c>
      <c r="L25" s="1"/>
      <c r="M25" s="1"/>
      <c r="N25" s="1"/>
    </row>
    <row r="26" spans="1:17" x14ac:dyDescent="0.3">
      <c r="I26" t="s">
        <v>66</v>
      </c>
    </row>
    <row r="27" spans="1:17" x14ac:dyDescent="0.3">
      <c r="I27" t="s">
        <v>193</v>
      </c>
    </row>
  </sheetData>
  <phoneticPr fontId="7" type="noConversion"/>
  <hyperlinks>
    <hyperlink ref="A1" location="리스트!A1" display="리스트로 이동" xr:uid="{5C93EE8C-36A6-4A6E-9CE1-ED1E8FE02D67}"/>
  </hyperlinks>
  <pageMargins left="0.74805557727813721" right="0.74805557727813721" top="0.98430556058883667" bottom="0.98430556058883667" header="0.51166665554046631" footer="0.51166665554046631"/>
  <pageSetup paperSize="9" fitToWidth="0" fitToHeight="0" orientation="portrait" horizontalDpi="0" verticalDpi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31"/>
  <dimension ref="A1:Q27"/>
  <sheetViews>
    <sheetView zoomScaleNormal="100" zoomScaleSheetLayoutView="100" workbookViewId="0"/>
  </sheetViews>
  <sheetFormatPr defaultColWidth="9" defaultRowHeight="16.5" x14ac:dyDescent="0.3"/>
  <cols>
    <col min="1" max="1" width="8.625" bestFit="1" customWidth="1"/>
    <col min="2" max="2" width="13.75" bestFit="1" customWidth="1"/>
    <col min="3" max="3" width="14.125" bestFit="1" customWidth="1"/>
    <col min="4" max="4" width="19.375" bestFit="1" customWidth="1"/>
    <col min="5" max="5" width="12.75" bestFit="1" customWidth="1"/>
    <col min="6" max="6" width="6.75" bestFit="1" customWidth="1"/>
    <col min="7" max="7" width="9" bestFit="1" customWidth="1"/>
    <col min="9" max="10" width="16.875" customWidth="1"/>
    <col min="11" max="11" width="1.625" bestFit="1" customWidth="1"/>
    <col min="12" max="12" width="3" bestFit="1" customWidth="1"/>
    <col min="13" max="13" width="1.625" bestFit="1" customWidth="1"/>
    <col min="14" max="15" width="10.125" bestFit="1" customWidth="1"/>
    <col min="16" max="16" width="16.875" customWidth="1"/>
  </cols>
  <sheetData>
    <row r="1" spans="1:17" x14ac:dyDescent="0.3">
      <c r="A1" s="16" t="s">
        <v>615</v>
      </c>
    </row>
    <row r="2" spans="1:17" x14ac:dyDescent="0.3">
      <c r="A2" s="2"/>
      <c r="B2" s="2" t="s">
        <v>116</v>
      </c>
      <c r="C2" s="2" t="s">
        <v>119</v>
      </c>
      <c r="D2" s="2" t="s">
        <v>112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3">
      <c r="A3" s="2"/>
      <c r="B3" s="2" t="s">
        <v>408</v>
      </c>
      <c r="C3" s="2" t="s">
        <v>486</v>
      </c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3">
      <c r="A5" s="2" t="s">
        <v>88</v>
      </c>
      <c r="B5" s="2" t="s">
        <v>215</v>
      </c>
      <c r="C5" s="2" t="s">
        <v>252</v>
      </c>
      <c r="D5" s="2" t="s">
        <v>169</v>
      </c>
      <c r="E5" s="2" t="s">
        <v>265</v>
      </c>
      <c r="F5" s="2" t="s">
        <v>101</v>
      </c>
      <c r="G5" s="2" t="s">
        <v>205</v>
      </c>
      <c r="H5" s="1"/>
      <c r="I5" s="1" t="str">
        <f>"CREATE TABLE "&amp;C3&amp;" ("</f>
        <v>CREATE TABLE REST_TIME (</v>
      </c>
      <c r="J5" s="1"/>
      <c r="K5" s="1"/>
      <c r="L5" s="1"/>
      <c r="M5" s="1"/>
      <c r="N5" s="1"/>
      <c r="O5" s="1"/>
      <c r="P5" s="1"/>
      <c r="Q5" s="1"/>
    </row>
    <row r="6" spans="1:17" x14ac:dyDescent="0.3">
      <c r="A6" s="2" t="s">
        <v>122</v>
      </c>
      <c r="B6" s="2" t="s">
        <v>21</v>
      </c>
      <c r="C6" s="2" t="s">
        <v>95</v>
      </c>
      <c r="D6" s="2" t="s">
        <v>521</v>
      </c>
      <c r="E6" s="2" t="s">
        <v>545</v>
      </c>
      <c r="F6" s="2" t="s">
        <v>322</v>
      </c>
      <c r="G6" s="2"/>
      <c r="H6" s="1"/>
      <c r="I6" s="1" t="str">
        <f t="shared" ref="I6:I13" si="0">""&amp;C6&amp;""</f>
        <v>SEQ</v>
      </c>
      <c r="J6" s="1" t="str">
        <f t="shared" ref="J6:J13" si="1">""&amp;E6&amp;""</f>
        <v>NUMBER</v>
      </c>
      <c r="K6" s="1" t="str">
        <f t="shared" ref="K6:K17" si="2">IF(F6="","","(")</f>
        <v>(</v>
      </c>
      <c r="L6" s="1" t="str">
        <f t="shared" ref="L6:L17" si="3">IF(F6="","",F6)</f>
        <v>IDENTITY(1,1)</v>
      </c>
      <c r="M6" s="1" t="str">
        <f t="shared" ref="M6:M17" si="4">IF(F6="","",")")</f>
        <v>)</v>
      </c>
      <c r="N6" s="1" t="str">
        <f>IF(G6="N","NOT NULL","NULL")</f>
        <v>NULL</v>
      </c>
      <c r="O6" s="1" t="s">
        <v>113</v>
      </c>
      <c r="Q6" s="1" t="e">
        <f>"EXEC SP_ADDEXTENDEDPROPERTY 'MS_Description', '"&amp;D6&amp;"', 'USER', dbo, 'TABLE', '"&amp;#REF!&amp;"', 'COLUMN', '"&amp;C6&amp;"'"</f>
        <v>#REF!</v>
      </c>
    </row>
    <row r="7" spans="1:17" x14ac:dyDescent="0.3">
      <c r="A7" s="2"/>
      <c r="B7" s="2" t="s">
        <v>245</v>
      </c>
      <c r="C7" s="2" t="s">
        <v>528</v>
      </c>
      <c r="D7" s="2" t="s">
        <v>293</v>
      </c>
      <c r="E7" s="2" t="s">
        <v>618</v>
      </c>
      <c r="F7" s="2">
        <v>10</v>
      </c>
      <c r="G7" s="2"/>
      <c r="H7" s="1"/>
      <c r="I7" s="1" t="str">
        <f t="shared" si="0"/>
        <v>PLANT_CODE</v>
      </c>
      <c r="J7" s="1" t="str">
        <f t="shared" si="1"/>
        <v>NVARCHAR2</v>
      </c>
      <c r="K7" s="1" t="str">
        <f t="shared" si="2"/>
        <v>(</v>
      </c>
      <c r="L7" s="1">
        <f t="shared" si="3"/>
        <v>10</v>
      </c>
      <c r="M7" s="1" t="str">
        <f t="shared" si="4"/>
        <v>)</v>
      </c>
      <c r="N7" s="1" t="str">
        <f t="shared" ref="N7:N17" si="5">IF(G7="N","NOT NULL","NULL")</f>
        <v>NULL</v>
      </c>
      <c r="O7" s="1" t="s">
        <v>113</v>
      </c>
      <c r="P7" s="1"/>
      <c r="Q7" s="1" t="e">
        <f>"EXEC SP_ADDEXTENDEDPROPERTY 'MS_Description', '"&amp;D7&amp;"', 'USER', dbo, 'TABLE', '"&amp;#REF!&amp;"', 'COLUMN', '"&amp;C7&amp;"'"</f>
        <v>#REF!</v>
      </c>
    </row>
    <row r="8" spans="1:17" x14ac:dyDescent="0.3">
      <c r="A8" s="2"/>
      <c r="B8" s="2" t="s">
        <v>455</v>
      </c>
      <c r="C8" s="2" t="s">
        <v>312</v>
      </c>
      <c r="D8" s="2" t="s">
        <v>426</v>
      </c>
      <c r="E8" s="2" t="s">
        <v>618</v>
      </c>
      <c r="F8" s="2">
        <v>10</v>
      </c>
      <c r="G8" s="2"/>
      <c r="H8" s="1"/>
      <c r="I8" s="1" t="str">
        <f t="shared" si="0"/>
        <v>WORK_DATE</v>
      </c>
      <c r="J8" s="1" t="str">
        <f t="shared" si="1"/>
        <v>NVARCHAR2</v>
      </c>
      <c r="K8" s="1" t="str">
        <f t="shared" si="2"/>
        <v>(</v>
      </c>
      <c r="L8" s="1">
        <f t="shared" si="3"/>
        <v>10</v>
      </c>
      <c r="M8" s="1" t="str">
        <f t="shared" si="4"/>
        <v>)</v>
      </c>
      <c r="N8" s="1" t="str">
        <f t="shared" si="5"/>
        <v>NULL</v>
      </c>
      <c r="O8" s="1" t="s">
        <v>113</v>
      </c>
      <c r="P8" s="1"/>
      <c r="Q8" s="1" t="e">
        <f>"EXEC SP_ADDEXTENDEDPROPERTY 'MS_Description', '"&amp;D8&amp;"', 'USER', dbo, 'TABLE', '"&amp;#REF!&amp;"', 'COLUMN', '"&amp;C8&amp;"'"</f>
        <v>#REF!</v>
      </c>
    </row>
    <row r="9" spans="1:17" x14ac:dyDescent="0.3">
      <c r="A9" s="2"/>
      <c r="B9" s="2" t="s">
        <v>437</v>
      </c>
      <c r="C9" s="2" t="s">
        <v>520</v>
      </c>
      <c r="D9" s="2" t="s">
        <v>437</v>
      </c>
      <c r="E9" s="2" t="s">
        <v>618</v>
      </c>
      <c r="F9" s="2">
        <v>10</v>
      </c>
      <c r="G9" s="2"/>
      <c r="H9" s="1"/>
      <c r="I9" s="1" t="str">
        <f t="shared" si="0"/>
        <v>REST_CODE</v>
      </c>
      <c r="J9" s="1" t="str">
        <f t="shared" si="1"/>
        <v>NVARCHAR2</v>
      </c>
      <c r="K9" s="1" t="str">
        <f t="shared" si="2"/>
        <v>(</v>
      </c>
      <c r="L9" s="1">
        <f t="shared" si="3"/>
        <v>10</v>
      </c>
      <c r="M9" s="1" t="str">
        <f t="shared" si="4"/>
        <v>)</v>
      </c>
      <c r="N9" s="1" t="str">
        <f t="shared" si="5"/>
        <v>NULL</v>
      </c>
      <c r="O9" s="1" t="s">
        <v>113</v>
      </c>
      <c r="P9" s="1"/>
      <c r="Q9" s="1" t="e">
        <f>"EXEC SP_ADDEXTENDEDPROPERTY 'MS_Description', '"&amp;D9&amp;"', 'USER', dbo, 'TABLE', '"&amp;#REF!&amp;"', 'COLUMN', '"&amp;C9&amp;"'"</f>
        <v>#REF!</v>
      </c>
    </row>
    <row r="10" spans="1:17" x14ac:dyDescent="0.3">
      <c r="A10" s="2"/>
      <c r="B10" s="2" t="s">
        <v>334</v>
      </c>
      <c r="C10" s="2" t="s">
        <v>304</v>
      </c>
      <c r="D10" s="2" t="s">
        <v>334</v>
      </c>
      <c r="E10" s="2" t="s">
        <v>228</v>
      </c>
      <c r="F10" s="2"/>
      <c r="G10" s="2"/>
      <c r="H10" s="1"/>
      <c r="I10" s="1" t="str">
        <f t="shared" si="0"/>
        <v>START_TIME</v>
      </c>
      <c r="J10" s="1" t="str">
        <f t="shared" si="1"/>
        <v>DATE</v>
      </c>
      <c r="K10" s="1" t="str">
        <f t="shared" si="2"/>
        <v/>
      </c>
      <c r="L10" s="1" t="str">
        <f t="shared" si="3"/>
        <v/>
      </c>
      <c r="M10" s="1" t="str">
        <f t="shared" si="4"/>
        <v/>
      </c>
      <c r="N10" s="1" t="str">
        <f t="shared" si="5"/>
        <v>NULL</v>
      </c>
      <c r="O10" s="1" t="s">
        <v>113</v>
      </c>
      <c r="P10" s="1"/>
      <c r="Q10" s="1" t="e">
        <f>"EXEC SP_ADDEXTENDEDPROPERTY 'MS_Description', '"&amp;D10&amp;"', 'USER', dbo, 'TABLE', '"&amp;#REF!&amp;"', 'COLUMN', '"&amp;C10&amp;"'"</f>
        <v>#REF!</v>
      </c>
    </row>
    <row r="11" spans="1:17" x14ac:dyDescent="0.3">
      <c r="A11" s="2"/>
      <c r="B11" s="2" t="s">
        <v>37</v>
      </c>
      <c r="C11" s="2" t="s">
        <v>300</v>
      </c>
      <c r="D11" s="2" t="s">
        <v>37</v>
      </c>
      <c r="E11" s="2" t="s">
        <v>228</v>
      </c>
      <c r="F11" s="2"/>
      <c r="G11" s="2"/>
      <c r="H11" s="1"/>
      <c r="I11" s="1" t="str">
        <f t="shared" si="0"/>
        <v>END_TIME</v>
      </c>
      <c r="J11" s="1" t="str">
        <f t="shared" si="1"/>
        <v>DATE</v>
      </c>
      <c r="K11" s="1" t="str">
        <f t="shared" si="2"/>
        <v/>
      </c>
      <c r="L11" s="1" t="str">
        <f t="shared" si="3"/>
        <v/>
      </c>
      <c r="M11" s="1" t="str">
        <f t="shared" si="4"/>
        <v/>
      </c>
      <c r="N11" s="1" t="str">
        <f t="shared" si="5"/>
        <v>NULL</v>
      </c>
      <c r="O11" s="1" t="s">
        <v>113</v>
      </c>
      <c r="P11" s="1"/>
      <c r="Q11" s="1" t="e">
        <f>"EXEC SP_ADDEXTENDEDPROPERTY 'MS_Description', '"&amp;D11&amp;"', 'USER', dbo, 'TABLE', '"&amp;#REF!&amp;"', 'COLUMN', '"&amp;C11&amp;"'"</f>
        <v>#REF!</v>
      </c>
    </row>
    <row r="12" spans="1:17" s="1" customFormat="1" x14ac:dyDescent="0.3">
      <c r="A12" s="2"/>
      <c r="B12" s="2" t="s">
        <v>359</v>
      </c>
      <c r="C12" s="2" t="s">
        <v>377</v>
      </c>
      <c r="D12" s="2" t="s">
        <v>359</v>
      </c>
      <c r="E12" s="2" t="s">
        <v>545</v>
      </c>
      <c r="F12" s="2"/>
      <c r="G12" s="2"/>
      <c r="I12" s="1" t="str">
        <f t="shared" si="0"/>
        <v>REST_MINUTES</v>
      </c>
      <c r="J12" s="1" t="str">
        <f t="shared" si="1"/>
        <v>NUMBER</v>
      </c>
      <c r="K12" s="1" t="str">
        <f t="shared" si="2"/>
        <v/>
      </c>
      <c r="L12" s="1" t="str">
        <f t="shared" si="3"/>
        <v/>
      </c>
      <c r="M12" s="1" t="str">
        <f t="shared" si="4"/>
        <v/>
      </c>
      <c r="N12" s="1" t="str">
        <f t="shared" si="5"/>
        <v>NULL</v>
      </c>
      <c r="O12" s="1" t="s">
        <v>113</v>
      </c>
      <c r="Q12" s="1" t="e">
        <f>"EXEC SP_ADDEXTENDEDPROPERTY 'MS_Description', '"&amp;D12&amp;"', 'USER', dbo, 'TABLE', '"&amp;#REF!&amp;"', 'COLUMN', '"&amp;C12&amp;"'"</f>
        <v>#REF!</v>
      </c>
    </row>
    <row r="13" spans="1:17" x14ac:dyDescent="0.3">
      <c r="A13" s="2"/>
      <c r="B13" s="2" t="s">
        <v>14</v>
      </c>
      <c r="C13" s="2" t="s">
        <v>456</v>
      </c>
      <c r="D13" s="2" t="s">
        <v>14</v>
      </c>
      <c r="E13" s="2" t="s">
        <v>618</v>
      </c>
      <c r="F13" s="2" t="s">
        <v>109</v>
      </c>
      <c r="G13" s="2"/>
      <c r="H13" s="1"/>
      <c r="I13" s="1" t="str">
        <f t="shared" si="0"/>
        <v>REMARK</v>
      </c>
      <c r="J13" s="1" t="str">
        <f t="shared" si="1"/>
        <v>NVARCHAR2</v>
      </c>
      <c r="K13" s="1" t="str">
        <f t="shared" si="2"/>
        <v>(</v>
      </c>
      <c r="L13" s="1" t="str">
        <f t="shared" si="3"/>
        <v>MAX</v>
      </c>
      <c r="M13" s="1" t="str">
        <f t="shared" si="4"/>
        <v>)</v>
      </c>
      <c r="N13" s="1" t="str">
        <f t="shared" si="5"/>
        <v>NULL</v>
      </c>
      <c r="O13" s="1" t="s">
        <v>113</v>
      </c>
      <c r="P13" s="1"/>
      <c r="Q13" s="1" t="e">
        <f>"EXEC SP_ADDEXTENDEDPROPERTY 'MS_Description', '"&amp;D13&amp;"', 'USER', dbo, 'TABLE', '"&amp;#REF!&amp;"', 'COLUMN', '"&amp;C13&amp;"'"</f>
        <v>#REF!</v>
      </c>
    </row>
    <row r="14" spans="1:17" x14ac:dyDescent="0.3">
      <c r="A14" s="2"/>
      <c r="B14" s="2" t="s">
        <v>111</v>
      </c>
      <c r="C14" s="2" t="s">
        <v>790</v>
      </c>
      <c r="D14" s="2" t="s">
        <v>188</v>
      </c>
      <c r="E14" s="2" t="s">
        <v>618</v>
      </c>
      <c r="F14" s="2">
        <v>20</v>
      </c>
      <c r="G14" s="2" t="s">
        <v>90</v>
      </c>
      <c r="H14" s="1"/>
      <c r="I14" s="1" t="str">
        <f>""&amp;C14&amp;""</f>
        <v>INITBY</v>
      </c>
      <c r="J14" s="1" t="str">
        <f>""&amp;E14&amp;""</f>
        <v>NVARCHAR2</v>
      </c>
      <c r="K14" s="1" t="str">
        <f t="shared" si="2"/>
        <v>(</v>
      </c>
      <c r="L14" s="1">
        <f t="shared" si="3"/>
        <v>20</v>
      </c>
      <c r="M14" s="1" t="str">
        <f t="shared" si="4"/>
        <v>)</v>
      </c>
      <c r="N14" s="1" t="str">
        <f t="shared" si="5"/>
        <v>NOT NULL</v>
      </c>
      <c r="O14" s="1" t="s">
        <v>113</v>
      </c>
      <c r="P14" s="1"/>
      <c r="Q14" s="1" t="e">
        <f>"EXEC SP_ADDEXTENDEDPROPERTY 'MS_Description', '"&amp;D14&amp;"', 'USER', dbo, 'TABLE', '"&amp;#REF!&amp;"', 'COLUMN', '"&amp;C14&amp;"'"</f>
        <v>#REF!</v>
      </c>
    </row>
    <row r="15" spans="1:17" x14ac:dyDescent="0.3">
      <c r="A15" s="2"/>
      <c r="B15" s="2" t="s">
        <v>254</v>
      </c>
      <c r="C15" s="2" t="s">
        <v>791</v>
      </c>
      <c r="D15" s="2" t="s">
        <v>254</v>
      </c>
      <c r="E15" s="2" t="s">
        <v>228</v>
      </c>
      <c r="F15" s="2"/>
      <c r="G15" s="2" t="s">
        <v>90</v>
      </c>
      <c r="H15" s="1"/>
      <c r="I15" s="1" t="str">
        <f>""&amp;C15&amp;""</f>
        <v>INITDTTM</v>
      </c>
      <c r="J15" s="1" t="str">
        <f>""&amp;E15&amp;""</f>
        <v>DATE</v>
      </c>
      <c r="K15" s="1" t="str">
        <f t="shared" si="2"/>
        <v/>
      </c>
      <c r="L15" s="1" t="str">
        <f t="shared" si="3"/>
        <v/>
      </c>
      <c r="M15" s="1" t="str">
        <f t="shared" si="4"/>
        <v/>
      </c>
      <c r="N15" s="1" t="str">
        <f t="shared" si="5"/>
        <v>NOT NULL</v>
      </c>
      <c r="O15" s="1" t="s">
        <v>113</v>
      </c>
      <c r="P15" s="1"/>
      <c r="Q15" s="1" t="e">
        <f>"EXEC SP_ADDEXTENDEDPROPERTY 'MS_Description', '"&amp;D15&amp;"', 'USER', dbo, 'TABLE', '"&amp;#REF!&amp;"', 'COLUMN', '"&amp;C15&amp;"'"</f>
        <v>#REF!</v>
      </c>
    </row>
    <row r="16" spans="1:17" x14ac:dyDescent="0.3">
      <c r="A16" s="2"/>
      <c r="B16" s="2" t="s">
        <v>99</v>
      </c>
      <c r="C16" s="2" t="s">
        <v>793</v>
      </c>
      <c r="D16" s="2" t="s">
        <v>197</v>
      </c>
      <c r="E16" s="2" t="s">
        <v>618</v>
      </c>
      <c r="F16" s="2">
        <v>20</v>
      </c>
      <c r="G16" s="2" t="s">
        <v>122</v>
      </c>
      <c r="H16" s="1"/>
      <c r="I16" s="1" t="str">
        <f>""&amp;C16&amp;""</f>
        <v>UPBY</v>
      </c>
      <c r="J16" s="1" t="str">
        <f>""&amp;E16&amp;""</f>
        <v>NVARCHAR2</v>
      </c>
      <c r="K16" s="1" t="str">
        <f t="shared" si="2"/>
        <v>(</v>
      </c>
      <c r="L16" s="1">
        <f t="shared" si="3"/>
        <v>20</v>
      </c>
      <c r="M16" s="1" t="str">
        <f t="shared" si="4"/>
        <v>)</v>
      </c>
      <c r="N16" s="1" t="str">
        <f t="shared" si="5"/>
        <v>NULL</v>
      </c>
      <c r="O16" s="1" t="s">
        <v>113</v>
      </c>
      <c r="P16" s="1"/>
      <c r="Q16" s="1" t="e">
        <f>"EXEC SP_ADDEXTENDEDPROPERTY 'MS_Description', '"&amp;D16&amp;"', 'USER', dbo, 'TABLE', '"&amp;#REF!&amp;"', 'COLUMN', '"&amp;C16&amp;"'"</f>
        <v>#REF!</v>
      </c>
    </row>
    <row r="17" spans="1:17" x14ac:dyDescent="0.3">
      <c r="A17" s="2"/>
      <c r="B17" s="2" t="s">
        <v>259</v>
      </c>
      <c r="C17" s="2" t="s">
        <v>792</v>
      </c>
      <c r="D17" s="2" t="s">
        <v>259</v>
      </c>
      <c r="E17" s="2" t="s">
        <v>228</v>
      </c>
      <c r="F17" s="2"/>
      <c r="G17" s="2" t="s">
        <v>122</v>
      </c>
      <c r="H17" s="1"/>
      <c r="I17" s="1" t="str">
        <f>""&amp;C17&amp;""</f>
        <v>UPDTTM</v>
      </c>
      <c r="J17" s="1" t="str">
        <f>""&amp;E17&amp;""</f>
        <v>DATE</v>
      </c>
      <c r="K17" s="1" t="str">
        <f t="shared" si="2"/>
        <v/>
      </c>
      <c r="L17" s="1" t="str">
        <f t="shared" si="3"/>
        <v/>
      </c>
      <c r="M17" s="1" t="str">
        <f t="shared" si="4"/>
        <v/>
      </c>
      <c r="N17" s="1" t="str">
        <f t="shared" si="5"/>
        <v>NULL</v>
      </c>
      <c r="O17" s="1" t="s">
        <v>113</v>
      </c>
      <c r="P17" s="1"/>
      <c r="Q17" s="1" t="e">
        <f>"EXEC SP_ADDEXTENDEDPROPERTY 'MS_Description', '"&amp;D17&amp;"', 'USER', dbo, 'TABLE', '"&amp;#REF!&amp;"', 'COLUMN', '"&amp;C17&amp;"'"</f>
        <v>#REF!</v>
      </c>
    </row>
    <row r="18" spans="1:17" x14ac:dyDescent="0.3">
      <c r="I18" t="str">
        <f>"CONSTRAINT PK__"&amp;C3&amp;" PRIMARY KEY CLUSTERED("</f>
        <v>CONSTRAINT PK__REST_TIME PRIMARY KEY CLUSTERED(</v>
      </c>
    </row>
    <row r="19" spans="1:17" x14ac:dyDescent="0.3">
      <c r="I19" t="str">
        <f t="shared" ref="I19:I24" si="6">IF(A6="Y",C6,"")</f>
        <v>SEQ</v>
      </c>
      <c r="J19" s="1" t="str">
        <f t="shared" ref="J19:J24" si="7">IF(A6="Y","ASC","")</f>
        <v>ASC</v>
      </c>
      <c r="K19" s="3" t="str">
        <f t="shared" ref="K19:K24" si="8">IF(A6="Y",",","")</f>
        <v>,</v>
      </c>
      <c r="L19" s="3"/>
      <c r="M19" s="3"/>
      <c r="N19" s="3"/>
    </row>
    <row r="20" spans="1:17" x14ac:dyDescent="0.3">
      <c r="I20" s="1" t="str">
        <f t="shared" si="6"/>
        <v/>
      </c>
      <c r="J20" s="1" t="str">
        <f t="shared" si="7"/>
        <v/>
      </c>
      <c r="K20" s="1" t="str">
        <f t="shared" si="8"/>
        <v/>
      </c>
      <c r="L20" s="1"/>
      <c r="M20" s="1"/>
      <c r="N20" s="1"/>
    </row>
    <row r="21" spans="1:17" x14ac:dyDescent="0.3">
      <c r="I21" s="1" t="str">
        <f t="shared" si="6"/>
        <v/>
      </c>
      <c r="J21" s="1" t="str">
        <f t="shared" si="7"/>
        <v/>
      </c>
      <c r="K21" s="1" t="str">
        <f t="shared" si="8"/>
        <v/>
      </c>
      <c r="L21" s="1"/>
      <c r="M21" s="1"/>
      <c r="N21" s="1"/>
    </row>
    <row r="22" spans="1:17" x14ac:dyDescent="0.3">
      <c r="I22" s="1" t="str">
        <f t="shared" si="6"/>
        <v/>
      </c>
      <c r="J22" s="1" t="str">
        <f t="shared" si="7"/>
        <v/>
      </c>
      <c r="K22" s="1" t="str">
        <f t="shared" si="8"/>
        <v/>
      </c>
      <c r="L22" s="1"/>
      <c r="M22" s="1"/>
      <c r="N22" s="1"/>
    </row>
    <row r="23" spans="1:17" x14ac:dyDescent="0.3">
      <c r="I23" s="1" t="str">
        <f t="shared" si="6"/>
        <v/>
      </c>
      <c r="J23" s="1" t="str">
        <f t="shared" si="7"/>
        <v/>
      </c>
      <c r="K23" s="1" t="str">
        <f t="shared" si="8"/>
        <v/>
      </c>
      <c r="L23" s="1"/>
      <c r="M23" s="1"/>
      <c r="N23" s="1"/>
    </row>
    <row r="24" spans="1:17" x14ac:dyDescent="0.3">
      <c r="I24" s="1" t="str">
        <f t="shared" si="6"/>
        <v/>
      </c>
      <c r="J24" s="1" t="str">
        <f t="shared" si="7"/>
        <v/>
      </c>
      <c r="K24" s="1" t="str">
        <f t="shared" si="8"/>
        <v/>
      </c>
      <c r="L24" s="1"/>
      <c r="M24" s="1"/>
      <c r="N24" s="1"/>
    </row>
    <row r="25" spans="1:17" x14ac:dyDescent="0.3">
      <c r="I25" s="1" t="str">
        <f>IF(A13="Y",C13,"")</f>
        <v/>
      </c>
      <c r="J25" s="1" t="str">
        <f>IF(A13="Y","ASC","")</f>
        <v/>
      </c>
      <c r="K25" s="1" t="str">
        <f>IF(A13="Y",",","")</f>
        <v/>
      </c>
      <c r="L25" s="1"/>
      <c r="M25" s="1"/>
      <c r="N25" s="1"/>
    </row>
    <row r="26" spans="1:17" x14ac:dyDescent="0.3">
      <c r="I26" t="s">
        <v>66</v>
      </c>
    </row>
    <row r="27" spans="1:17" x14ac:dyDescent="0.3">
      <c r="I27" t="s">
        <v>193</v>
      </c>
    </row>
  </sheetData>
  <phoneticPr fontId="7" type="noConversion"/>
  <hyperlinks>
    <hyperlink ref="A1" location="리스트!A1" display="리스트로 이동" xr:uid="{3320F5D1-C318-4C6B-A823-26B71EA509FA}"/>
  </hyperlinks>
  <pageMargins left="0.74805557727813721" right="0.74805557727813721" top="0.98430556058883667" bottom="0.98430556058883667" header="0.51166665554046631" footer="0.51166665554046631"/>
  <pageSetup paperSize="9" fitToWidth="0" fitToHeight="0" orientation="portrait" horizontalDpi="0" verticalDpi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2"/>
  <dimension ref="A1:Q25"/>
  <sheetViews>
    <sheetView zoomScaleNormal="100" zoomScaleSheetLayoutView="100" workbookViewId="0">
      <selection activeCell="E19" sqref="E19"/>
    </sheetView>
  </sheetViews>
  <sheetFormatPr defaultColWidth="9" defaultRowHeight="16.5" x14ac:dyDescent="0.3"/>
  <cols>
    <col min="1" max="1" width="8.625" bestFit="1" customWidth="1"/>
    <col min="2" max="2" width="13.75" bestFit="1" customWidth="1"/>
    <col min="3" max="3" width="14.125" bestFit="1" customWidth="1"/>
    <col min="4" max="4" width="19.375" bestFit="1" customWidth="1"/>
    <col min="5" max="5" width="12.75" bestFit="1" customWidth="1"/>
    <col min="6" max="6" width="6.75" bestFit="1" customWidth="1"/>
    <col min="7" max="7" width="9" bestFit="1" customWidth="1"/>
    <col min="9" max="10" width="16.875" customWidth="1"/>
    <col min="11" max="11" width="1.625" bestFit="1" customWidth="1"/>
    <col min="12" max="12" width="3" bestFit="1" customWidth="1"/>
    <col min="13" max="13" width="1.625" bestFit="1" customWidth="1"/>
    <col min="14" max="15" width="10.125" bestFit="1" customWidth="1"/>
    <col min="16" max="16" width="16.875" customWidth="1"/>
  </cols>
  <sheetData>
    <row r="1" spans="1:17" x14ac:dyDescent="0.3">
      <c r="A1" s="16" t="s">
        <v>615</v>
      </c>
    </row>
    <row r="2" spans="1:17" x14ac:dyDescent="0.3">
      <c r="A2" s="2"/>
      <c r="B2" s="2" t="s">
        <v>116</v>
      </c>
      <c r="C2" s="2" t="s">
        <v>119</v>
      </c>
      <c r="D2" s="2" t="s">
        <v>112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3">
      <c r="A3" s="2"/>
      <c r="B3" s="2" t="s">
        <v>409</v>
      </c>
      <c r="C3" s="2" t="s">
        <v>439</v>
      </c>
      <c r="D3" s="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 t="s">
        <v>256</v>
      </c>
    </row>
    <row r="5" spans="1:17" x14ac:dyDescent="0.3">
      <c r="A5" s="2" t="s">
        <v>88</v>
      </c>
      <c r="B5" s="2" t="s">
        <v>215</v>
      </c>
      <c r="C5" s="2" t="s">
        <v>252</v>
      </c>
      <c r="D5" s="2" t="s">
        <v>169</v>
      </c>
      <c r="E5" s="2" t="s">
        <v>265</v>
      </c>
      <c r="F5" s="2" t="s">
        <v>101</v>
      </c>
      <c r="G5" s="2" t="s">
        <v>205</v>
      </c>
      <c r="H5" s="1"/>
      <c r="I5" s="1" t="str">
        <f>"CREATE TABLE "&amp;C3&amp;" ("</f>
        <v>CREATE TABLE EQUIP_TROUBLE (</v>
      </c>
      <c r="J5" s="1"/>
      <c r="K5" s="1"/>
      <c r="L5" s="1"/>
      <c r="M5" s="1"/>
      <c r="N5" s="1"/>
      <c r="O5" s="1"/>
      <c r="P5" s="1"/>
      <c r="Q5" s="1"/>
    </row>
    <row r="6" spans="1:17" s="1" customFormat="1" x14ac:dyDescent="0.3">
      <c r="A6" s="2" t="s">
        <v>122</v>
      </c>
      <c r="B6" s="2" t="s">
        <v>21</v>
      </c>
      <c r="C6" s="2" t="s">
        <v>95</v>
      </c>
      <c r="D6" s="2" t="s">
        <v>521</v>
      </c>
      <c r="E6" s="2" t="s">
        <v>545</v>
      </c>
      <c r="F6" s="2" t="s">
        <v>322</v>
      </c>
      <c r="G6" s="2"/>
      <c r="I6" s="1" t="str">
        <f t="shared" ref="I6:I15" si="0">""&amp;C6&amp;""</f>
        <v>SEQ</v>
      </c>
      <c r="J6" s="1" t="str">
        <f t="shared" ref="J6:J15" si="1">""&amp;E6&amp;""</f>
        <v>NUMBER</v>
      </c>
      <c r="K6" s="1" t="str">
        <f>IF(F6="","","(")</f>
        <v>(</v>
      </c>
      <c r="L6" s="1" t="str">
        <f>IF(F6="","",F6)</f>
        <v>IDENTITY(1,1)</v>
      </c>
      <c r="M6" s="1" t="str">
        <f>IF(F6="","",")")</f>
        <v>)</v>
      </c>
      <c r="N6" s="1" t="str">
        <f>IF(G6="N","NOT NULL","NULL")</f>
        <v>NULL</v>
      </c>
      <c r="O6" s="1" t="s">
        <v>113</v>
      </c>
      <c r="Q6" s="1" t="e">
        <f>"EXEC SP_ADDEXTENDEDPROPERTY 'MS_Description', '"&amp;D6&amp;"', 'USER', dbo, 'TABLE', '"&amp;#REF!&amp;"', 'COLUMN', '"&amp;C6&amp;"'"</f>
        <v>#REF!</v>
      </c>
    </row>
    <row r="7" spans="1:17" x14ac:dyDescent="0.3">
      <c r="A7" s="2"/>
      <c r="B7" s="2" t="s">
        <v>333</v>
      </c>
      <c r="C7" s="2" t="s">
        <v>457</v>
      </c>
      <c r="D7" s="2" t="s">
        <v>378</v>
      </c>
      <c r="E7" s="2" t="s">
        <v>618</v>
      </c>
      <c r="F7" s="2">
        <v>10</v>
      </c>
      <c r="G7" s="2"/>
      <c r="H7" s="1"/>
      <c r="I7" s="1" t="str">
        <f t="shared" si="0"/>
        <v>EQUIP_CODE</v>
      </c>
      <c r="J7" s="1" t="str">
        <f t="shared" si="1"/>
        <v>NVARCHAR2</v>
      </c>
      <c r="K7" s="1" t="str">
        <f t="shared" ref="K7:K15" si="2">IF(F7="","","(")</f>
        <v>(</v>
      </c>
      <c r="L7" s="1">
        <f t="shared" ref="L7:L15" si="3">IF(F7="","",F7)</f>
        <v>10</v>
      </c>
      <c r="M7" s="1" t="str">
        <f t="shared" ref="M7:M15" si="4">IF(F7="","",")")</f>
        <v>)</v>
      </c>
      <c r="N7" s="1" t="str">
        <f>IF(G7="N","NOT NULL","NULL")</f>
        <v>NULL</v>
      </c>
      <c r="O7" s="1" t="s">
        <v>113</v>
      </c>
      <c r="Q7" s="1" t="e">
        <f>"EXEC SP_ADDEXTENDEDPROPERTY 'MS_Description', '"&amp;D7&amp;"', 'USER', dbo, 'TABLE', '"&amp;#REF!&amp;"', 'COLUMN', '"&amp;C7&amp;"'"</f>
        <v>#REF!</v>
      </c>
    </row>
    <row r="8" spans="1:17" x14ac:dyDescent="0.3">
      <c r="A8" s="2"/>
      <c r="B8" s="2" t="s">
        <v>446</v>
      </c>
      <c r="C8" s="2" t="s">
        <v>413</v>
      </c>
      <c r="D8" s="2" t="s">
        <v>446</v>
      </c>
      <c r="E8" s="2" t="s">
        <v>618</v>
      </c>
      <c r="F8" s="2">
        <v>100</v>
      </c>
      <c r="G8" s="2"/>
      <c r="H8" s="1"/>
      <c r="I8" s="1" t="str">
        <f t="shared" si="0"/>
        <v>EQUIP_TRB</v>
      </c>
      <c r="J8" s="1" t="str">
        <f t="shared" si="1"/>
        <v>NVARCHAR2</v>
      </c>
      <c r="K8" s="1" t="str">
        <f t="shared" si="2"/>
        <v>(</v>
      </c>
      <c r="L8" s="1">
        <f t="shared" si="3"/>
        <v>100</v>
      </c>
      <c r="M8" s="1" t="str">
        <f t="shared" si="4"/>
        <v>)</v>
      </c>
      <c r="N8" s="1" t="str">
        <f t="shared" ref="N8:N15" si="5">IF(G8="N","NOT NULL","NULL")</f>
        <v>NULL</v>
      </c>
      <c r="O8" s="1" t="s">
        <v>113</v>
      </c>
      <c r="P8" s="1"/>
      <c r="Q8" s="1" t="e">
        <f>"EXEC SP_ADDEXTENDEDPROPERTY 'MS_Description', '"&amp;D8&amp;"', 'USER', dbo, 'TABLE', '"&amp;#REF!&amp;"', 'COLUMN', '"&amp;C8&amp;"'"</f>
        <v>#REF!</v>
      </c>
    </row>
    <row r="9" spans="1:17" x14ac:dyDescent="0.3">
      <c r="A9" s="2"/>
      <c r="B9" s="2" t="s">
        <v>269</v>
      </c>
      <c r="C9" s="2" t="s">
        <v>505</v>
      </c>
      <c r="D9" s="2" t="s">
        <v>269</v>
      </c>
      <c r="E9" s="2" t="s">
        <v>618</v>
      </c>
      <c r="F9" s="2">
        <v>100</v>
      </c>
      <c r="G9" s="2"/>
      <c r="H9" s="1"/>
      <c r="I9" s="1" t="str">
        <f t="shared" si="0"/>
        <v>EQUIP_TASK</v>
      </c>
      <c r="J9" s="1" t="str">
        <f t="shared" si="1"/>
        <v>NVARCHAR2</v>
      </c>
      <c r="K9" s="1" t="str">
        <f t="shared" si="2"/>
        <v>(</v>
      </c>
      <c r="L9" s="1">
        <f t="shared" si="3"/>
        <v>100</v>
      </c>
      <c r="M9" s="1" t="str">
        <f t="shared" si="4"/>
        <v>)</v>
      </c>
      <c r="N9" s="1" t="str">
        <f t="shared" si="5"/>
        <v>NULL</v>
      </c>
      <c r="O9" s="1" t="s">
        <v>113</v>
      </c>
      <c r="P9" s="1"/>
      <c r="Q9" s="1" t="e">
        <f>"EXEC SP_ADDEXTENDEDPROPERTY 'MS_Description', '"&amp;D9&amp;"', 'USER', dbo, 'TABLE', '"&amp;#REF!&amp;"', 'COLUMN', '"&amp;C9&amp;"'"</f>
        <v>#REF!</v>
      </c>
    </row>
    <row r="10" spans="1:17" x14ac:dyDescent="0.3">
      <c r="A10" s="2"/>
      <c r="B10" s="2" t="s">
        <v>431</v>
      </c>
      <c r="C10" s="2" t="s">
        <v>456</v>
      </c>
      <c r="D10" s="2" t="s">
        <v>431</v>
      </c>
      <c r="E10" s="2" t="s">
        <v>618</v>
      </c>
      <c r="F10" s="2" t="s">
        <v>109</v>
      </c>
      <c r="G10" s="2"/>
      <c r="H10" s="1"/>
      <c r="I10" s="1" t="str">
        <f t="shared" si="0"/>
        <v>REMARK</v>
      </c>
      <c r="J10" s="1" t="str">
        <f t="shared" si="1"/>
        <v>NVARCHAR2</v>
      </c>
      <c r="K10" s="1" t="str">
        <f t="shared" si="2"/>
        <v>(</v>
      </c>
      <c r="L10" s="1" t="str">
        <f t="shared" si="3"/>
        <v>MAX</v>
      </c>
      <c r="M10" s="1" t="str">
        <f t="shared" si="4"/>
        <v>)</v>
      </c>
      <c r="N10" s="1" t="str">
        <f t="shared" si="5"/>
        <v>NULL</v>
      </c>
      <c r="O10" s="1" t="s">
        <v>113</v>
      </c>
      <c r="P10" s="1"/>
      <c r="Q10" s="1" t="e">
        <f>"EXEC SP_ADDEXTENDEDPROPERTY 'MS_Description', '"&amp;D10&amp;"', 'USER', dbo, 'TABLE', '"&amp;#REF!&amp;"', 'COLUMN', '"&amp;C10&amp;"'"</f>
        <v>#REF!</v>
      </c>
    </row>
    <row r="11" spans="1:17" x14ac:dyDescent="0.3">
      <c r="A11" s="2"/>
      <c r="B11" s="2" t="s">
        <v>392</v>
      </c>
      <c r="C11" s="2" t="s">
        <v>522</v>
      </c>
      <c r="D11" s="2" t="s">
        <v>392</v>
      </c>
      <c r="E11" s="2" t="s">
        <v>618</v>
      </c>
      <c r="F11" s="2">
        <v>10</v>
      </c>
      <c r="G11" s="2"/>
      <c r="H11" s="1"/>
      <c r="I11" s="1" t="str">
        <f t="shared" si="0"/>
        <v>IN_GUBUN</v>
      </c>
      <c r="J11" s="1" t="str">
        <f t="shared" si="1"/>
        <v>NVARCHAR2</v>
      </c>
      <c r="K11" s="1" t="str">
        <f t="shared" si="2"/>
        <v>(</v>
      </c>
      <c r="L11" s="1">
        <f t="shared" si="3"/>
        <v>10</v>
      </c>
      <c r="M11" s="1" t="str">
        <f t="shared" si="4"/>
        <v>)</v>
      </c>
      <c r="N11" s="1" t="str">
        <f t="shared" si="5"/>
        <v>NULL</v>
      </c>
      <c r="O11" s="1" t="s">
        <v>113</v>
      </c>
      <c r="P11" s="1"/>
      <c r="Q11" s="1" t="e">
        <f>"EXEC SP_ADDEXTENDEDPROPERTY 'MS_Description', '"&amp;D11&amp;"', 'USER', dbo, 'TABLE', '"&amp;#REF!&amp;"', 'COLUMN', '"&amp;C11&amp;"'"</f>
        <v>#REF!</v>
      </c>
    </row>
    <row r="12" spans="1:17" x14ac:dyDescent="0.3">
      <c r="A12" s="2"/>
      <c r="B12" s="2" t="s">
        <v>111</v>
      </c>
      <c r="C12" s="2" t="s">
        <v>790</v>
      </c>
      <c r="D12" s="2" t="s">
        <v>188</v>
      </c>
      <c r="E12" s="2" t="s">
        <v>618</v>
      </c>
      <c r="F12" s="2">
        <v>20</v>
      </c>
      <c r="G12" s="2" t="s">
        <v>90</v>
      </c>
      <c r="H12" s="1"/>
      <c r="I12" s="1" t="str">
        <f t="shared" si="0"/>
        <v>INITBY</v>
      </c>
      <c r="J12" s="1" t="str">
        <f t="shared" si="1"/>
        <v>NVARCHAR2</v>
      </c>
      <c r="K12" s="1" t="str">
        <f t="shared" si="2"/>
        <v>(</v>
      </c>
      <c r="L12" s="1">
        <f t="shared" si="3"/>
        <v>20</v>
      </c>
      <c r="M12" s="1" t="str">
        <f t="shared" si="4"/>
        <v>)</v>
      </c>
      <c r="N12" s="1" t="str">
        <f t="shared" si="5"/>
        <v>NOT NULL</v>
      </c>
      <c r="O12" s="1" t="s">
        <v>113</v>
      </c>
      <c r="P12" s="1"/>
      <c r="Q12" s="1" t="e">
        <f>"EXEC SP_ADDEXTENDEDPROPERTY 'MS_Description', '"&amp;D12&amp;"', 'USER', dbo, 'TABLE', '"&amp;#REF!&amp;"', 'COLUMN', '"&amp;C12&amp;"'"</f>
        <v>#REF!</v>
      </c>
    </row>
    <row r="13" spans="1:17" x14ac:dyDescent="0.3">
      <c r="A13" s="2"/>
      <c r="B13" s="2" t="s">
        <v>254</v>
      </c>
      <c r="C13" s="2" t="s">
        <v>791</v>
      </c>
      <c r="D13" s="2" t="s">
        <v>254</v>
      </c>
      <c r="E13" s="2" t="s">
        <v>228</v>
      </c>
      <c r="F13" s="2"/>
      <c r="G13" s="2" t="s">
        <v>90</v>
      </c>
      <c r="H13" s="1"/>
      <c r="I13" s="1" t="str">
        <f t="shared" si="0"/>
        <v>INITDTTM</v>
      </c>
      <c r="J13" s="1" t="str">
        <f t="shared" si="1"/>
        <v>DATE</v>
      </c>
      <c r="K13" s="1" t="str">
        <f t="shared" si="2"/>
        <v/>
      </c>
      <c r="L13" s="1" t="str">
        <f t="shared" si="3"/>
        <v/>
      </c>
      <c r="M13" s="1" t="str">
        <f t="shared" si="4"/>
        <v/>
      </c>
      <c r="N13" s="1" t="str">
        <f t="shared" si="5"/>
        <v>NOT NULL</v>
      </c>
      <c r="O13" s="1" t="s">
        <v>113</v>
      </c>
      <c r="P13" s="1"/>
      <c r="Q13" s="1" t="e">
        <f>"EXEC SP_ADDEXTENDEDPROPERTY 'MS_Description', '"&amp;D13&amp;"', 'USER', dbo, 'TABLE', '"&amp;#REF!&amp;"', 'COLUMN', '"&amp;C13&amp;"'"</f>
        <v>#REF!</v>
      </c>
    </row>
    <row r="14" spans="1:17" x14ac:dyDescent="0.3">
      <c r="A14" s="2"/>
      <c r="B14" s="2" t="s">
        <v>99</v>
      </c>
      <c r="C14" s="2" t="s">
        <v>793</v>
      </c>
      <c r="D14" s="2" t="s">
        <v>197</v>
      </c>
      <c r="E14" s="2" t="s">
        <v>618</v>
      </c>
      <c r="F14" s="2">
        <v>20</v>
      </c>
      <c r="G14" s="2" t="s">
        <v>122</v>
      </c>
      <c r="H14" s="1"/>
      <c r="I14" s="1" t="str">
        <f t="shared" si="0"/>
        <v>UPBY</v>
      </c>
      <c r="J14" s="1" t="str">
        <f t="shared" si="1"/>
        <v>NVARCHAR2</v>
      </c>
      <c r="K14" s="1" t="str">
        <f t="shared" si="2"/>
        <v>(</v>
      </c>
      <c r="L14" s="1">
        <f t="shared" si="3"/>
        <v>20</v>
      </c>
      <c r="M14" s="1" t="str">
        <f t="shared" si="4"/>
        <v>)</v>
      </c>
      <c r="N14" s="1" t="str">
        <f t="shared" si="5"/>
        <v>NULL</v>
      </c>
      <c r="O14" s="1" t="s">
        <v>113</v>
      </c>
      <c r="P14" s="1"/>
      <c r="Q14" s="1" t="e">
        <f>"EXEC SP_ADDEXTENDEDPROPERTY 'MS_Description', '"&amp;D14&amp;"', 'USER', dbo, 'TABLE', '"&amp;#REF!&amp;"', 'COLUMN', '"&amp;C14&amp;"'"</f>
        <v>#REF!</v>
      </c>
    </row>
    <row r="15" spans="1:17" x14ac:dyDescent="0.3">
      <c r="A15" s="2"/>
      <c r="B15" s="2" t="s">
        <v>259</v>
      </c>
      <c r="C15" s="2" t="s">
        <v>792</v>
      </c>
      <c r="D15" s="2" t="s">
        <v>259</v>
      </c>
      <c r="E15" s="2" t="s">
        <v>228</v>
      </c>
      <c r="F15" s="2"/>
      <c r="G15" s="2" t="s">
        <v>122</v>
      </c>
      <c r="H15" s="1"/>
      <c r="I15" s="1" t="str">
        <f t="shared" si="0"/>
        <v>UPDTTM</v>
      </c>
      <c r="J15" s="1" t="str">
        <f t="shared" si="1"/>
        <v>DATE</v>
      </c>
      <c r="K15" s="1" t="str">
        <f t="shared" si="2"/>
        <v/>
      </c>
      <c r="L15" s="1" t="str">
        <f t="shared" si="3"/>
        <v/>
      </c>
      <c r="M15" s="1" t="str">
        <f t="shared" si="4"/>
        <v/>
      </c>
      <c r="N15" s="1" t="str">
        <f t="shared" si="5"/>
        <v>NULL</v>
      </c>
      <c r="O15" s="1" t="s">
        <v>113</v>
      </c>
      <c r="P15" s="1"/>
      <c r="Q15" s="1" t="e">
        <f>"EXEC SP_ADDEXTENDEDPROPERTY 'MS_Description', '"&amp;D15&amp;"', 'USER', dbo, 'TABLE', '"&amp;#REF!&amp;"', 'COLUMN', '"&amp;C15&amp;"'"</f>
        <v>#REF!</v>
      </c>
    </row>
    <row r="16" spans="1:17" x14ac:dyDescent="0.3">
      <c r="I16" t="str">
        <f>"CONSTRAINT PK__"&amp;C3&amp;" PRIMARY KEY CLUSTERED("</f>
        <v>CONSTRAINT PK__EQUIP_TROUBLE PRIMARY KEY CLUSTERED(</v>
      </c>
    </row>
    <row r="17" spans="9:14" x14ac:dyDescent="0.3">
      <c r="I17" t="str">
        <f>IF(A7="Y",C7,"")</f>
        <v/>
      </c>
      <c r="J17" s="1" t="str">
        <f>IF(A7="Y","ASC","")</f>
        <v/>
      </c>
      <c r="K17" s="3" t="str">
        <f>IF(A7="Y",",","")</f>
        <v/>
      </c>
      <c r="L17" s="3"/>
      <c r="M17" s="3"/>
      <c r="N17" s="3"/>
    </row>
    <row r="18" spans="9:14" x14ac:dyDescent="0.3">
      <c r="I18" s="1" t="e">
        <f>IF(#REF!="Y",#REF!,"")</f>
        <v>#REF!</v>
      </c>
      <c r="J18" s="1" t="e">
        <f>IF(#REF!="Y","ASC","")</f>
        <v>#REF!</v>
      </c>
      <c r="K18" s="1" t="e">
        <f>IF(#REF!="Y",",","")</f>
        <v>#REF!</v>
      </c>
      <c r="L18" s="1"/>
      <c r="M18" s="1"/>
      <c r="N18" s="1"/>
    </row>
    <row r="19" spans="9:14" x14ac:dyDescent="0.3">
      <c r="I19" s="1" t="str">
        <f>IF(A8="Y",C8,"")</f>
        <v/>
      </c>
      <c r="J19" s="1" t="str">
        <f>IF(A8="Y","ASC","")</f>
        <v/>
      </c>
      <c r="K19" s="1" t="str">
        <f>IF(A8="Y",",","")</f>
        <v/>
      </c>
      <c r="L19" s="1"/>
      <c r="M19" s="1"/>
      <c r="N19" s="1"/>
    </row>
    <row r="20" spans="9:14" x14ac:dyDescent="0.3">
      <c r="I20" s="1" t="str">
        <f>IF(A9="Y",C9,"")</f>
        <v/>
      </c>
      <c r="J20" s="1" t="str">
        <f>IF(A9="Y","ASC","")</f>
        <v/>
      </c>
      <c r="K20" s="1" t="str">
        <f>IF(A9="Y",",","")</f>
        <v/>
      </c>
      <c r="L20" s="1"/>
      <c r="M20" s="1"/>
      <c r="N20" s="1"/>
    </row>
    <row r="21" spans="9:14" x14ac:dyDescent="0.3">
      <c r="I21" s="1" t="str">
        <f>IF(A10="Y",C10,"")</f>
        <v/>
      </c>
      <c r="J21" s="1" t="str">
        <f>IF(A10="Y","ASC","")</f>
        <v/>
      </c>
      <c r="K21" s="1" t="str">
        <f>IF(A10="Y",",","")</f>
        <v/>
      </c>
      <c r="L21" s="1"/>
      <c r="M21" s="1"/>
      <c r="N21" s="1"/>
    </row>
    <row r="22" spans="9:14" x14ac:dyDescent="0.3">
      <c r="I22" s="1" t="str">
        <f>IF(A11="Y",C11,"")</f>
        <v/>
      </c>
      <c r="J22" s="1" t="str">
        <f>IF(A11="Y","ASC","")</f>
        <v/>
      </c>
      <c r="K22" s="1" t="str">
        <f>IF(A11="Y",",","")</f>
        <v/>
      </c>
      <c r="L22" s="1"/>
      <c r="M22" s="1"/>
      <c r="N22" s="1"/>
    </row>
    <row r="23" spans="9:14" x14ac:dyDescent="0.3">
      <c r="I23" s="1" t="e">
        <f>IF(#REF!="Y",#REF!,"")</f>
        <v>#REF!</v>
      </c>
      <c r="J23" s="1" t="e">
        <f>IF(#REF!="Y","ASC","")</f>
        <v>#REF!</v>
      </c>
      <c r="K23" s="1" t="e">
        <f>IF(#REF!="Y",",","")</f>
        <v>#REF!</v>
      </c>
      <c r="L23" s="1"/>
      <c r="M23" s="1"/>
      <c r="N23" s="1"/>
    </row>
    <row r="24" spans="9:14" x14ac:dyDescent="0.3">
      <c r="I24" t="s">
        <v>66</v>
      </c>
    </row>
    <row r="25" spans="9:14" x14ac:dyDescent="0.3">
      <c r="I25" t="s">
        <v>193</v>
      </c>
    </row>
  </sheetData>
  <phoneticPr fontId="7" type="noConversion"/>
  <hyperlinks>
    <hyperlink ref="A1" location="리스트!A1" display="리스트로 이동" xr:uid="{FC9A4A95-419F-43F7-9957-4766FDD2787D}"/>
  </hyperlinks>
  <pageMargins left="0.74805557727813721" right="0.74805557727813721" top="0.98430556058883667" bottom="0.98430556058883667" header="0.51166665554046631" footer="0.51166665554046631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5345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41</vt:i4>
      </vt:variant>
    </vt:vector>
  </HeadingPairs>
  <TitlesOfParts>
    <vt:vector size="41" baseType="lpstr">
      <vt:lpstr>리스트</vt:lpstr>
      <vt:lpstr>TEMPLATE</vt:lpstr>
      <vt:lpstr>COMMON_CODE</vt:lpstr>
      <vt:lpstr>PROJECTS</vt:lpstr>
      <vt:lpstr>PROJECT_MANAGEMENT</vt:lpstr>
      <vt:lpstr>COMPANY</vt:lpstr>
      <vt:lpstr>VENDORS</vt:lpstr>
      <vt:lpstr>PLANT</vt:lpstr>
      <vt:lpstr>PROCESS</vt:lpstr>
      <vt:lpstr>LINE</vt:lpstr>
      <vt:lpstr>LOCATION</vt:lpstr>
      <vt:lpstr>SCALE</vt:lpstr>
      <vt:lpstr>BIN</vt:lpstr>
      <vt:lpstr>STOCK_CLOSING</vt:lpstr>
      <vt:lpstr>STOCK_ADJUST</vt:lpstr>
      <vt:lpstr>ROUTING</vt:lpstr>
      <vt:lpstr>FEED_LABEL</vt:lpstr>
      <vt:lpstr>EQUIPMENT</vt:lpstr>
      <vt:lpstr>CUSTOMERS</vt:lpstr>
      <vt:lpstr>VEHICLE</vt:lpstr>
      <vt:lpstr>EMPLOYEES</vt:lpstr>
      <vt:lpstr>MENU_INFO</vt:lpstr>
      <vt:lpstr>MENU_AUTH</vt:lpstr>
      <vt:lpstr>PRODUCT</vt:lpstr>
      <vt:lpstr>MATERAL_ADJUST</vt:lpstr>
      <vt:lpstr>MATERIAL</vt:lpstr>
      <vt:lpstr>MIXING_RECIPE</vt:lpstr>
      <vt:lpstr>MIXING_RECIPE_DETAIL</vt:lpstr>
      <vt:lpstr>MIX_WORK_ORDER</vt:lpstr>
      <vt:lpstr>MIX_SETTING</vt:lpstr>
      <vt:lpstr>MIX_SETTING_HISTORY</vt:lpstr>
      <vt:lpstr>MIX_RESULT</vt:lpstr>
      <vt:lpstr>SMASH</vt:lpstr>
      <vt:lpstr>PELLET</vt:lpstr>
      <vt:lpstr>PACK</vt:lpstr>
      <vt:lpstr>TYCONES</vt:lpstr>
      <vt:lpstr>MATERIAL_MOVING</vt:lpstr>
      <vt:lpstr>STOCK_CHANGE</vt:lpstr>
      <vt:lpstr>STOCK</vt:lpstr>
      <vt:lpstr>REST_TIME</vt:lpstr>
      <vt:lpstr>EQUIP_TROUBLE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주동석</dc:creator>
  <cp:lastModifiedBy>동석 주</cp:lastModifiedBy>
  <cp:revision>74</cp:revision>
  <dcterms:created xsi:type="dcterms:W3CDTF">2024-04-04T04:54:19Z</dcterms:created>
  <dcterms:modified xsi:type="dcterms:W3CDTF">2026-05-14T05:46:06Z</dcterms:modified>
  <cp:version>1200.0100.01</cp:version>
</cp:coreProperties>
</file>